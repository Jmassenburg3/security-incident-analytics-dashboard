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massenburg3\Documents\"/>
    </mc:Choice>
  </mc:AlternateContent>
  <xr:revisionPtr revIDLastSave="0" documentId="8_{B228E481-84D6-4552-BC48-85470C5B8516}" xr6:coauthVersionLast="47" xr6:coauthVersionMax="47" xr10:uidLastSave="{00000000-0000-0000-0000-000000000000}"/>
  <bookViews>
    <workbookView xWindow="-120" yWindow="-120" windowWidth="29040" windowHeight="15720" activeTab="1" xr2:uid="{B112489D-07E1-4D5F-81AF-0811C3F12C71}"/>
  </bookViews>
  <sheets>
    <sheet name="Raw Data" sheetId="1" r:id="rId1"/>
    <sheet name="Dashboard" sheetId="2"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 l="1"/>
  <c r="H3" i="3"/>
  <c r="H4" i="3"/>
  <c r="H5" i="3"/>
  <c r="H6" i="3"/>
  <c r="H7" i="3"/>
  <c r="H2" i="3"/>
  <c r="E3" i="3"/>
  <c r="E4" i="3"/>
  <c r="E5" i="3"/>
  <c r="E2" i="3"/>
  <c r="B3" i="3"/>
  <c r="B4" i="3"/>
  <c r="B5" i="3"/>
  <c r="B6" i="3"/>
  <c r="B2" i="3"/>
  <c r="G5" i="2"/>
  <c r="E5" i="2"/>
  <c r="C5" i="2"/>
</calcChain>
</file>

<file path=xl/sharedStrings.xml><?xml version="1.0" encoding="utf-8"?>
<sst xmlns="http://schemas.openxmlformats.org/spreadsheetml/2006/main" count="100" uniqueCount="50">
  <si>
    <t>Incident_ID</t>
  </si>
  <si>
    <t>Date</t>
  </si>
  <si>
    <t>Incident_Type</t>
  </si>
  <si>
    <t>Severity</t>
  </si>
  <si>
    <t>Status</t>
  </si>
  <si>
    <t>Department</t>
  </si>
  <si>
    <t>Resolution_Hours</t>
  </si>
  <si>
    <t>Root_Cause</t>
  </si>
  <si>
    <t>INC-001</t>
  </si>
  <si>
    <t>Phishing</t>
  </si>
  <si>
    <t>High</t>
  </si>
  <si>
    <t>Resolved</t>
  </si>
  <si>
    <t>Finance</t>
  </si>
  <si>
    <t>Human Error</t>
  </si>
  <si>
    <t>INC-002</t>
  </si>
  <si>
    <t>INC-003</t>
  </si>
  <si>
    <t>INC-004</t>
  </si>
  <si>
    <t>INC-005</t>
  </si>
  <si>
    <t>INC-006</t>
  </si>
  <si>
    <t>INC-007</t>
  </si>
  <si>
    <t>INC-008</t>
  </si>
  <si>
    <t>INC-009</t>
  </si>
  <si>
    <t>INC-010</t>
  </si>
  <si>
    <t>Malware</t>
  </si>
  <si>
    <t>Unauthorized Access</t>
  </si>
  <si>
    <t>Data Breach</t>
  </si>
  <si>
    <t>Denial of Service</t>
  </si>
  <si>
    <t>Critical</t>
  </si>
  <si>
    <t>Medium</t>
  </si>
  <si>
    <t>In Progress</t>
  </si>
  <si>
    <t>Open</t>
  </si>
  <si>
    <t>IT</t>
  </si>
  <si>
    <t>Operations</t>
  </si>
  <si>
    <t>HR</t>
  </si>
  <si>
    <t>Sales</t>
  </si>
  <si>
    <t>Malicious Software</t>
  </si>
  <si>
    <t>Weak Credentials</t>
  </si>
  <si>
    <t>Phishing Email</t>
  </si>
  <si>
    <t>System Vulnerability</t>
  </si>
  <si>
    <t>TOTAL INCIDENTS</t>
  </si>
  <si>
    <t>HIGH/CRITICAL</t>
  </si>
  <si>
    <t>AVG.RESOLUTION(HRS)</t>
  </si>
  <si>
    <t>Incident Type</t>
  </si>
  <si>
    <t>Incident Count</t>
  </si>
  <si>
    <t>Low</t>
  </si>
  <si>
    <t xml:space="preserve">Department </t>
  </si>
  <si>
    <t>Marketing</t>
  </si>
  <si>
    <t>All</t>
  </si>
  <si>
    <r>
      <t xml:space="preserve">Incident Monitoring </t>
    </r>
    <r>
      <rPr>
        <b/>
        <sz val="11"/>
        <color theme="1"/>
        <rFont val="Aptos Narrow"/>
        <family val="2"/>
        <scheme val="minor"/>
      </rPr>
      <t>|</t>
    </r>
    <r>
      <rPr>
        <b/>
        <i/>
        <sz val="11"/>
        <color theme="1"/>
        <rFont val="Aptos Narrow"/>
        <family val="2"/>
        <scheme val="minor"/>
      </rPr>
      <t xml:space="preserve"> Risk Analysis </t>
    </r>
    <r>
      <rPr>
        <b/>
        <sz val="11"/>
        <color theme="1"/>
        <rFont val="Aptos Narrow"/>
        <family val="2"/>
        <scheme val="minor"/>
      </rPr>
      <t>|</t>
    </r>
    <r>
      <rPr>
        <b/>
        <i/>
        <sz val="11"/>
        <color theme="1"/>
        <rFont val="Aptos Narrow"/>
        <family val="2"/>
        <scheme val="minor"/>
      </rPr>
      <t xml:space="preserve"> Business Intelligence</t>
    </r>
  </si>
  <si>
    <t>SELECT FOR DETAILED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</si>
</sst>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sz val="20"/>
      <color theme="0"/>
      <name val="Aptos Narrow"/>
      <family val="2"/>
      <scheme val="minor"/>
    </font>
    <font>
      <b/>
      <sz val="22"/>
      <color theme="1"/>
      <name val="Aptos Narrow"/>
      <family val="2"/>
      <scheme val="minor"/>
    </font>
    <font>
      <b/>
      <sz val="22"/>
      <color theme="0"/>
      <name val="Aptos Narrow"/>
      <family val="2"/>
      <scheme val="minor"/>
    </font>
    <font>
      <b/>
      <i/>
      <sz val="11"/>
      <color theme="1"/>
      <name val="Aptos Narrow"/>
      <family val="2"/>
      <scheme val="minor"/>
    </font>
  </fonts>
  <fills count="8">
    <fill>
      <patternFill patternType="none"/>
    </fill>
    <fill>
      <patternFill patternType="gray125"/>
    </fill>
    <fill>
      <patternFill patternType="solid">
        <fgColor theme="2"/>
        <bgColor indexed="64"/>
      </patternFill>
    </fill>
    <fill>
      <patternFill patternType="solid">
        <fgColor theme="3" tint="9.9978637043366805E-2"/>
        <bgColor indexed="64"/>
      </patternFill>
    </fill>
    <fill>
      <patternFill patternType="solid">
        <fgColor theme="0"/>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2" tint="-0.749992370372631"/>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3">
    <xf numFmtId="0" fontId="0" fillId="0" borderId="0" xfId="0"/>
    <xf numFmtId="14" fontId="0" fillId="0" borderId="0" xfId="0" applyNumberFormat="1"/>
    <xf numFmtId="0" fontId="4" fillId="3" borderId="0" xfId="0" applyFont="1" applyFill="1" applyAlignment="1">
      <alignment horizontal="center"/>
    </xf>
    <xf numFmtId="0" fontId="0" fillId="4" borderId="0" xfId="0" applyFill="1"/>
    <xf numFmtId="0" fontId="0" fillId="3" borderId="0" xfId="0" applyFill="1"/>
    <xf numFmtId="0" fontId="0" fillId="5" borderId="0" xfId="0" applyFill="1"/>
    <xf numFmtId="0" fontId="6" fillId="3" borderId="1" xfId="0" applyFont="1" applyFill="1" applyBorder="1" applyAlignment="1">
      <alignment horizontal="center" vertical="center"/>
    </xf>
    <xf numFmtId="0" fontId="6" fillId="3" borderId="1" xfId="0" applyFont="1" applyFill="1" applyBorder="1"/>
    <xf numFmtId="0" fontId="7" fillId="4" borderId="2" xfId="0" applyFont="1" applyFill="1" applyBorder="1"/>
    <xf numFmtId="0" fontId="0" fillId="4" borderId="3" xfId="0" applyFill="1" applyBorder="1"/>
    <xf numFmtId="0" fontId="0" fillId="4" borderId="4" xfId="0" applyFill="1" applyBorder="1"/>
    <xf numFmtId="0" fontId="0" fillId="7" borderId="0" xfId="0" applyFill="1"/>
    <xf numFmtId="0" fontId="0" fillId="6" borderId="0" xfId="0" applyFill="1" applyBorder="1"/>
    <xf numFmtId="0" fontId="0" fillId="6" borderId="6" xfId="0" applyFill="1" applyBorder="1"/>
    <xf numFmtId="0" fontId="1" fillId="6" borderId="0" xfId="0" applyFont="1" applyFill="1" applyBorder="1"/>
    <xf numFmtId="0" fontId="0" fillId="6" borderId="8" xfId="0" applyFill="1" applyBorder="1"/>
    <xf numFmtId="0" fontId="0" fillId="6" borderId="9" xfId="0" applyFill="1" applyBorder="1"/>
    <xf numFmtId="0" fontId="0" fillId="4" borderId="5" xfId="0" applyFill="1" applyBorder="1"/>
    <xf numFmtId="0" fontId="0" fillId="4" borderId="0" xfId="0" applyFill="1" applyBorder="1"/>
    <xf numFmtId="0" fontId="0" fillId="4" borderId="8" xfId="0" applyFill="1" applyBorder="1"/>
    <xf numFmtId="0" fontId="0" fillId="4" borderId="2" xfId="0" applyFill="1" applyBorder="1"/>
    <xf numFmtId="0" fontId="2" fillId="2" borderId="7" xfId="0" applyFont="1" applyFill="1" applyBorder="1"/>
    <xf numFmtId="0" fontId="2" fillId="2" borderId="2" xfId="0" applyFont="1" applyFill="1" applyBorder="1"/>
    <xf numFmtId="0" fontId="0" fillId="6" borderId="13" xfId="0" applyFill="1" applyBorder="1"/>
    <xf numFmtId="0" fontId="0" fillId="6" borderId="8" xfId="0" applyFont="1" applyFill="1" applyBorder="1"/>
    <xf numFmtId="0" fontId="5" fillId="4" borderId="1" xfId="0" applyFont="1" applyFill="1" applyBorder="1" applyAlignment="1">
      <alignment horizontal="center" vertical="center"/>
    </xf>
    <xf numFmtId="0" fontId="0" fillId="5" borderId="10" xfId="0" applyFill="1" applyBorder="1"/>
    <xf numFmtId="0" fontId="1" fillId="5" borderId="11" xfId="0" applyFont="1" applyFill="1" applyBorder="1"/>
    <xf numFmtId="0" fontId="0" fillId="5" borderId="11" xfId="0" applyFill="1" applyBorder="1"/>
    <xf numFmtId="0" fontId="0" fillId="5" borderId="12" xfId="0" applyFill="1" applyBorder="1"/>
    <xf numFmtId="0" fontId="0" fillId="6" borderId="14" xfId="0" applyFill="1" applyBorder="1"/>
    <xf numFmtId="0" fontId="2" fillId="4" borderId="2" xfId="0" applyFont="1" applyFill="1" applyBorder="1"/>
    <xf numFmtId="0" fontId="2" fillId="4" borderId="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Security</a:t>
            </a:r>
            <a:r>
              <a:rPr lang="en-US" b="1" u="sng" baseline="0">
                <a:solidFill>
                  <a:schemeClr val="tx1"/>
                </a:solidFill>
              </a:rPr>
              <a:t> Incidents by Type</a:t>
            </a:r>
            <a:endParaRPr lang="en-US" b="1" u="sng">
              <a:solidFill>
                <a:schemeClr val="tx1"/>
              </a:solidFill>
            </a:endParaRPr>
          </a:p>
        </c:rich>
      </c:tx>
      <c:overlay val="0"/>
      <c:spPr>
        <a:gradFill>
          <a:gsLst>
            <a:gs pos="0">
              <a:schemeClr val="bg2"/>
            </a:gs>
            <a:gs pos="0">
              <a:schemeClr val="bg2">
                <a:lumMod val="75000"/>
              </a:schemeClr>
            </a:gs>
            <a:gs pos="55000">
              <a:schemeClr val="bg2"/>
            </a:gs>
            <a:gs pos="86000">
              <a:schemeClr val="bg1"/>
            </a:gs>
          </a:gsLst>
          <a:lin ang="16200000" scaled="1"/>
        </a:grad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Analysis!$B$1</c:f>
              <c:strCache>
                <c:ptCount val="1"/>
                <c:pt idx="0">
                  <c:v>Incident Count</c:v>
                </c:pt>
              </c:strCache>
            </c:strRef>
          </c:tx>
          <c:spPr>
            <a:solidFill>
              <a:schemeClr val="accent1"/>
            </a:solidFill>
            <a:ln>
              <a:noFill/>
            </a:ln>
            <a:effectLst/>
          </c:spPr>
          <c:invertIfNegative val="0"/>
          <c:cat>
            <c:strRef>
              <c:f>Analysis!$A$2:$A$6</c:f>
              <c:strCache>
                <c:ptCount val="5"/>
                <c:pt idx="0">
                  <c:v>Phishing</c:v>
                </c:pt>
                <c:pt idx="1">
                  <c:v>Malware</c:v>
                </c:pt>
                <c:pt idx="2">
                  <c:v>Unauthorized Access</c:v>
                </c:pt>
                <c:pt idx="3">
                  <c:v>Data Breach</c:v>
                </c:pt>
                <c:pt idx="4">
                  <c:v>Denial of Service</c:v>
                </c:pt>
              </c:strCache>
            </c:strRef>
          </c:cat>
          <c:val>
            <c:numRef>
              <c:f>Analysis!$B$2:$B$6</c:f>
              <c:numCache>
                <c:formatCode>General</c:formatCode>
                <c:ptCount val="5"/>
                <c:pt idx="0">
                  <c:v>4</c:v>
                </c:pt>
                <c:pt idx="1">
                  <c:v>2</c:v>
                </c:pt>
                <c:pt idx="2">
                  <c:v>1</c:v>
                </c:pt>
                <c:pt idx="3">
                  <c:v>1</c:v>
                </c:pt>
                <c:pt idx="4">
                  <c:v>1</c:v>
                </c:pt>
              </c:numCache>
            </c:numRef>
          </c:val>
          <c:extLst>
            <c:ext xmlns:c16="http://schemas.microsoft.com/office/drawing/2014/chart" uri="{C3380CC4-5D6E-409C-BE32-E72D297353CC}">
              <c16:uniqueId val="{00000000-4E6F-485C-90CD-BA877652A066}"/>
            </c:ext>
          </c:extLst>
        </c:ser>
        <c:dLbls>
          <c:showLegendKey val="0"/>
          <c:showVal val="0"/>
          <c:showCatName val="0"/>
          <c:showSerName val="0"/>
          <c:showPercent val="0"/>
          <c:showBubbleSize val="0"/>
        </c:dLbls>
        <c:gapWidth val="219"/>
        <c:overlap val="-27"/>
        <c:axId val="634779264"/>
        <c:axId val="634777824"/>
      </c:barChart>
      <c:catAx>
        <c:axId val="634779264"/>
        <c:scaling>
          <c:orientation val="minMax"/>
        </c:scaling>
        <c:delete val="0"/>
        <c:axPos val="b"/>
        <c:numFmt formatCode="General" sourceLinked="1"/>
        <c:majorTickMark val="none"/>
        <c:minorTickMark val="none"/>
        <c:tickLblPos val="nextTo"/>
        <c:spPr>
          <a:gradFill flip="none" rotWithShape="1">
            <a:gsLst>
              <a:gs pos="0">
                <a:schemeClr val="tx2">
                  <a:lumMod val="90000"/>
                  <a:lumOff val="10000"/>
                  <a:tint val="66000"/>
                  <a:satMod val="160000"/>
                </a:schemeClr>
              </a:gs>
              <a:gs pos="15000">
                <a:schemeClr val="bg2"/>
              </a:gs>
              <a:gs pos="65000">
                <a:schemeClr val="bg1"/>
              </a:gs>
            </a:gsLst>
            <a:path path="circle">
              <a:fillToRect l="100000" t="100000"/>
            </a:path>
            <a:tileRect r="-100000" b="-100000"/>
          </a:gra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4777824"/>
        <c:crosses val="autoZero"/>
        <c:auto val="1"/>
        <c:lblAlgn val="ctr"/>
        <c:lblOffset val="100"/>
        <c:noMultiLvlLbl val="0"/>
      </c:catAx>
      <c:valAx>
        <c:axId val="63477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4779264"/>
        <c:crosses val="autoZero"/>
        <c:crossBetween val="between"/>
      </c:valAx>
      <c:spPr>
        <a:noFill/>
        <a:ln>
          <a:noFill/>
        </a:ln>
        <a:effectLst/>
      </c:spPr>
    </c:plotArea>
    <c:plotVisOnly val="1"/>
    <c:dispBlanksAs val="gap"/>
    <c:showDLblsOverMax val="0"/>
  </c:chart>
  <c:spPr>
    <a:gradFill>
      <a:gsLst>
        <a:gs pos="0">
          <a:schemeClr val="tx2">
            <a:lumMod val="90000"/>
            <a:lumOff val="10000"/>
          </a:schemeClr>
        </a:gs>
        <a:gs pos="74000">
          <a:schemeClr val="tx2">
            <a:lumMod val="25000"/>
            <a:lumOff val="75000"/>
          </a:schemeClr>
        </a:gs>
        <a:gs pos="83000">
          <a:schemeClr val="tx2">
            <a:lumMod val="10000"/>
            <a:lumOff val="90000"/>
          </a:schemeClr>
        </a:gs>
        <a:gs pos="100000">
          <a:schemeClr val="bg1"/>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Security Incidents by Severity</a:t>
            </a:r>
          </a:p>
        </c:rich>
      </c:tx>
      <c:overlay val="0"/>
      <c:spPr>
        <a:gradFill>
          <a:gsLst>
            <a:gs pos="0">
              <a:schemeClr val="bg2"/>
            </a:gs>
            <a:gs pos="0">
              <a:schemeClr val="bg2">
                <a:lumMod val="75000"/>
              </a:schemeClr>
            </a:gs>
            <a:gs pos="60000">
              <a:schemeClr val="bg2"/>
            </a:gs>
            <a:gs pos="78000">
              <a:schemeClr val="bg1"/>
            </a:gs>
          </a:gsLst>
          <a:lin ang="16200000" scaled="1"/>
        </a:gra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Analysis!$E$1</c:f>
              <c:strCache>
                <c:ptCount val="1"/>
                <c:pt idx="0">
                  <c:v>Incident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5D-4A7E-967E-6BACDCD296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5D-4A7E-967E-6BACDCD296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5D-4A7E-967E-6BACDCD296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5D-4A7E-967E-6BACDCD296AD}"/>
              </c:ext>
            </c:extLst>
          </c:dPt>
          <c:cat>
            <c:strRef>
              <c:f>Analysis!$D$2:$D$5</c:f>
              <c:strCache>
                <c:ptCount val="4"/>
                <c:pt idx="0">
                  <c:v>Low</c:v>
                </c:pt>
                <c:pt idx="1">
                  <c:v>Medium</c:v>
                </c:pt>
                <c:pt idx="2">
                  <c:v>High</c:v>
                </c:pt>
                <c:pt idx="3">
                  <c:v>Critical</c:v>
                </c:pt>
              </c:strCache>
            </c:strRef>
          </c:cat>
          <c:val>
            <c:numRef>
              <c:f>Analysis!$E$2:$E$5</c:f>
              <c:numCache>
                <c:formatCode>General</c:formatCode>
                <c:ptCount val="4"/>
                <c:pt idx="0">
                  <c:v>0</c:v>
                </c:pt>
                <c:pt idx="1">
                  <c:v>3</c:v>
                </c:pt>
                <c:pt idx="2">
                  <c:v>5</c:v>
                </c:pt>
                <c:pt idx="3">
                  <c:v>2</c:v>
                </c:pt>
              </c:numCache>
            </c:numRef>
          </c:val>
          <c:extLst>
            <c:ext xmlns:c16="http://schemas.microsoft.com/office/drawing/2014/chart" uri="{C3380CC4-5D6E-409C-BE32-E72D297353CC}">
              <c16:uniqueId val="{00000008-755D-4A7E-967E-6BACDCD296A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gradFill>
          <a:gsLst>
            <a:gs pos="0">
              <a:schemeClr val="bg2"/>
            </a:gs>
            <a:gs pos="0">
              <a:schemeClr val="bg2">
                <a:lumMod val="75000"/>
              </a:schemeClr>
            </a:gs>
            <a:gs pos="33000">
              <a:schemeClr val="bg2"/>
            </a:gs>
            <a:gs pos="73000">
              <a:schemeClr val="bg1"/>
            </a:gs>
          </a:gsLst>
          <a:lin ang="16200000" scaled="1"/>
        </a:gra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2">
            <a:lumMod val="90000"/>
            <a:lumOff val="10000"/>
          </a:schemeClr>
        </a:gs>
        <a:gs pos="74000">
          <a:schemeClr val="tx2">
            <a:lumMod val="25000"/>
            <a:lumOff val="75000"/>
          </a:schemeClr>
        </a:gs>
        <a:gs pos="83000">
          <a:schemeClr val="tx2">
            <a:lumMod val="10000"/>
            <a:lumOff val="90000"/>
          </a:schemeClr>
        </a:gs>
        <a:gs pos="100000">
          <a:schemeClr val="bg1"/>
        </a:gs>
      </a:gsLst>
      <a:lin ang="5400000" scaled="1"/>
    </a:gra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Security</a:t>
            </a:r>
            <a:r>
              <a:rPr lang="en-US" baseline="0">
                <a:solidFill>
                  <a:schemeClr val="tx1"/>
                </a:solidFill>
              </a:rPr>
              <a:t> Incidents by Department</a:t>
            </a:r>
            <a:endParaRPr lang="en-US">
              <a:solidFill>
                <a:schemeClr val="tx1"/>
              </a:solidFill>
            </a:endParaRPr>
          </a:p>
        </c:rich>
      </c:tx>
      <c:overlay val="0"/>
      <c:spPr>
        <a:gradFill>
          <a:gsLst>
            <a:gs pos="0">
              <a:schemeClr val="bg2"/>
            </a:gs>
            <a:gs pos="0">
              <a:schemeClr val="bg2">
                <a:lumMod val="75000"/>
              </a:schemeClr>
            </a:gs>
            <a:gs pos="55000">
              <a:schemeClr val="bg2"/>
            </a:gs>
            <a:gs pos="87000">
              <a:schemeClr val="bg1"/>
            </a:gs>
          </a:gsLst>
          <a:lin ang="16200000" scaled="1"/>
        </a:gra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Analysis!$H$1</c:f>
              <c:strCache>
                <c:ptCount val="1"/>
                <c:pt idx="0">
                  <c:v>Incident Count</c:v>
                </c:pt>
              </c:strCache>
            </c:strRef>
          </c:tx>
          <c:spPr>
            <a:solidFill>
              <a:schemeClr val="accent1"/>
            </a:solidFill>
            <a:ln>
              <a:noFill/>
            </a:ln>
            <a:effectLst/>
          </c:spPr>
          <c:invertIfNegative val="0"/>
          <c:cat>
            <c:strRef>
              <c:f>Analysis!$G$2:$G$7</c:f>
              <c:strCache>
                <c:ptCount val="6"/>
                <c:pt idx="0">
                  <c:v>IT</c:v>
                </c:pt>
                <c:pt idx="1">
                  <c:v>Finance</c:v>
                </c:pt>
                <c:pt idx="2">
                  <c:v>Operations</c:v>
                </c:pt>
                <c:pt idx="3">
                  <c:v>HR</c:v>
                </c:pt>
                <c:pt idx="4">
                  <c:v>Sales</c:v>
                </c:pt>
                <c:pt idx="5">
                  <c:v>Marketing</c:v>
                </c:pt>
              </c:strCache>
            </c:strRef>
          </c:cat>
          <c:val>
            <c:numRef>
              <c:f>Analysis!$H$2:$H$7</c:f>
              <c:numCache>
                <c:formatCode>General</c:formatCode>
                <c:ptCount val="6"/>
                <c:pt idx="0">
                  <c:v>3</c:v>
                </c:pt>
                <c:pt idx="1">
                  <c:v>3</c:v>
                </c:pt>
                <c:pt idx="2">
                  <c:v>1</c:v>
                </c:pt>
                <c:pt idx="3">
                  <c:v>2</c:v>
                </c:pt>
                <c:pt idx="4">
                  <c:v>1</c:v>
                </c:pt>
                <c:pt idx="5">
                  <c:v>0</c:v>
                </c:pt>
              </c:numCache>
            </c:numRef>
          </c:val>
          <c:extLst>
            <c:ext xmlns:c16="http://schemas.microsoft.com/office/drawing/2014/chart" uri="{C3380CC4-5D6E-409C-BE32-E72D297353CC}">
              <c16:uniqueId val="{00000000-FF42-4899-9CE6-68C6307D6956}"/>
            </c:ext>
          </c:extLst>
        </c:ser>
        <c:dLbls>
          <c:showLegendKey val="0"/>
          <c:showVal val="0"/>
          <c:showCatName val="0"/>
          <c:showSerName val="0"/>
          <c:showPercent val="0"/>
          <c:showBubbleSize val="0"/>
        </c:dLbls>
        <c:gapWidth val="182"/>
        <c:axId val="642331648"/>
        <c:axId val="642331168"/>
      </c:barChart>
      <c:catAx>
        <c:axId val="642331648"/>
        <c:scaling>
          <c:orientation val="minMax"/>
        </c:scaling>
        <c:delete val="0"/>
        <c:axPos val="l"/>
        <c:numFmt formatCode="General" sourceLinked="1"/>
        <c:majorTickMark val="none"/>
        <c:minorTickMark val="none"/>
        <c:tickLblPos val="nextTo"/>
        <c:spPr>
          <a:gradFill flip="none" rotWithShape="1">
            <a:gsLst>
              <a:gs pos="0">
                <a:schemeClr val="bg2"/>
              </a:gs>
              <a:gs pos="0">
                <a:schemeClr val="bg2">
                  <a:lumMod val="75000"/>
                </a:schemeClr>
              </a:gs>
              <a:gs pos="49000">
                <a:schemeClr val="bg2"/>
              </a:gs>
              <a:gs pos="100000">
                <a:schemeClr val="bg1"/>
              </a:gs>
            </a:gsLst>
            <a:lin ang="16200000" scaled="1"/>
            <a:tileRect/>
          </a:gra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42331168"/>
        <c:crosses val="autoZero"/>
        <c:auto val="1"/>
        <c:lblAlgn val="ctr"/>
        <c:lblOffset val="100"/>
        <c:noMultiLvlLbl val="0"/>
      </c:catAx>
      <c:valAx>
        <c:axId val="642331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4233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2">
            <a:lumMod val="90000"/>
            <a:lumOff val="10000"/>
          </a:schemeClr>
        </a:gs>
        <a:gs pos="74000">
          <a:schemeClr val="tx2">
            <a:lumMod val="25000"/>
            <a:lumOff val="75000"/>
          </a:schemeClr>
        </a:gs>
        <a:gs pos="83000">
          <a:schemeClr val="tx2">
            <a:lumMod val="10000"/>
            <a:lumOff val="90000"/>
          </a:schemeClr>
        </a:gs>
        <a:gs pos="100000">
          <a:schemeClr val="bg1"/>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7</xdr:row>
      <xdr:rowOff>47624</xdr:rowOff>
    </xdr:from>
    <xdr:to>
      <xdr:col>5</xdr:col>
      <xdr:colOff>628650</xdr:colOff>
      <xdr:row>21</xdr:row>
      <xdr:rowOff>123825</xdr:rowOff>
    </xdr:to>
    <xdr:graphicFrame macro="">
      <xdr:nvGraphicFramePr>
        <xdr:cNvPr id="2" name="Chart 1">
          <a:extLst>
            <a:ext uri="{FF2B5EF4-FFF2-40B4-BE49-F238E27FC236}">
              <a16:creationId xmlns:a16="http://schemas.microsoft.com/office/drawing/2014/main" id="{C5EDD21D-C101-422D-B15B-F237DF595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161926</xdr:colOff>
      <xdr:row>9</xdr:row>
      <xdr:rowOff>76200</xdr:rowOff>
    </xdr:from>
    <xdr:to>
      <xdr:col>20</xdr:col>
      <xdr:colOff>495300</xdr:colOff>
      <xdr:row>38</xdr:row>
      <xdr:rowOff>76200</xdr:rowOff>
    </xdr:to>
    <xdr:graphicFrame macro="">
      <xdr:nvGraphicFramePr>
        <xdr:cNvPr id="3" name="Chart 2">
          <a:extLst>
            <a:ext uri="{FF2B5EF4-FFF2-40B4-BE49-F238E27FC236}">
              <a16:creationId xmlns:a16="http://schemas.microsoft.com/office/drawing/2014/main" id="{D4C33D47-9760-4C1C-9CED-23ADBA3B9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38098</xdr:colOff>
      <xdr:row>22</xdr:row>
      <xdr:rowOff>76199</xdr:rowOff>
    </xdr:from>
    <xdr:to>
      <xdr:col>7</xdr:col>
      <xdr:colOff>952499</xdr:colOff>
      <xdr:row>38</xdr:row>
      <xdr:rowOff>66675</xdr:rowOff>
    </xdr:to>
    <xdr:graphicFrame macro="">
      <xdr:nvGraphicFramePr>
        <xdr:cNvPr id="4" name="Chart 3">
          <a:extLst>
            <a:ext uri="{FF2B5EF4-FFF2-40B4-BE49-F238E27FC236}">
              <a16:creationId xmlns:a16="http://schemas.microsoft.com/office/drawing/2014/main" id="{A58D518E-F888-4945-89E7-F77E77FAA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xdr:row>
      <xdr:rowOff>123825</xdr:rowOff>
    </xdr:from>
    <xdr:to>
      <xdr:col>1</xdr:col>
      <xdr:colOff>19050</xdr:colOff>
      <xdr:row>4</xdr:row>
      <xdr:rowOff>19050</xdr:rowOff>
    </xdr:to>
    <xdr:sp macro="" textlink="">
      <xdr:nvSpPr>
        <xdr:cNvPr id="6" name="Rectangle: Rounded Corners 5">
          <a:extLst>
            <a:ext uri="{FF2B5EF4-FFF2-40B4-BE49-F238E27FC236}">
              <a16:creationId xmlns:a16="http://schemas.microsoft.com/office/drawing/2014/main" id="{62163C4C-F589-AE66-CC8F-4177039590F8}"/>
            </a:ext>
          </a:extLst>
        </xdr:cNvPr>
        <xdr:cNvSpPr/>
      </xdr:nvSpPr>
      <xdr:spPr>
        <a:xfrm>
          <a:off x="0" y="971550"/>
          <a:ext cx="1409700" cy="428625"/>
        </a:xfrm>
        <a:prstGeom prst="roundRect">
          <a:avLst/>
        </a:prstGeom>
        <a:gradFill flip="none" rotWithShape="1">
          <a:gsLst>
            <a:gs pos="0">
              <a:schemeClr val="tx2">
                <a:lumMod val="90000"/>
                <a:lumOff val="10000"/>
                <a:tint val="66000"/>
                <a:satMod val="160000"/>
              </a:schemeClr>
            </a:gs>
            <a:gs pos="50000">
              <a:schemeClr val="tx2">
                <a:lumMod val="90000"/>
                <a:lumOff val="10000"/>
                <a:tint val="44500"/>
                <a:satMod val="160000"/>
              </a:schemeClr>
            </a:gs>
            <a:gs pos="100000">
              <a:schemeClr val="tx2">
                <a:lumMod val="90000"/>
                <a:lumOff val="10000"/>
                <a:tint val="23500"/>
                <a:satMod val="160000"/>
              </a:scheme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TOTAL</a:t>
          </a:r>
          <a:r>
            <a:rPr lang="en-US" sz="1100" b="1" baseline="0">
              <a:solidFill>
                <a:schemeClr val="tx1"/>
              </a:solidFill>
            </a:rPr>
            <a:t> INCIDENTS</a:t>
          </a:r>
          <a:endParaRPr lang="en-US" sz="1100" b="1">
            <a:solidFill>
              <a:schemeClr val="tx1"/>
            </a:solidFill>
          </a:endParaRPr>
        </a:p>
      </xdr:txBody>
    </xdr:sp>
    <xdr:clientData/>
  </xdr:twoCellAnchor>
  <xdr:twoCellAnchor>
    <xdr:from>
      <xdr:col>1</xdr:col>
      <xdr:colOff>590551</xdr:colOff>
      <xdr:row>2</xdr:row>
      <xdr:rowOff>123826</xdr:rowOff>
    </xdr:from>
    <xdr:to>
      <xdr:col>3</xdr:col>
      <xdr:colOff>19051</xdr:colOff>
      <xdr:row>4</xdr:row>
      <xdr:rowOff>28576</xdr:rowOff>
    </xdr:to>
    <xdr:sp macro="" textlink="">
      <xdr:nvSpPr>
        <xdr:cNvPr id="7" name="Rectangle: Rounded Corners 6">
          <a:extLst>
            <a:ext uri="{FF2B5EF4-FFF2-40B4-BE49-F238E27FC236}">
              <a16:creationId xmlns:a16="http://schemas.microsoft.com/office/drawing/2014/main" id="{D018A6AD-C5DF-B4F8-DA05-1B38E5E4CEFD}"/>
            </a:ext>
          </a:extLst>
        </xdr:cNvPr>
        <xdr:cNvSpPr/>
      </xdr:nvSpPr>
      <xdr:spPr>
        <a:xfrm>
          <a:off x="1981201" y="647701"/>
          <a:ext cx="1600200" cy="295275"/>
        </a:xfrm>
        <a:prstGeom prst="roundRect">
          <a:avLst/>
        </a:prstGeom>
        <a:gradFill>
          <a:gsLst>
            <a:gs pos="0">
              <a:schemeClr val="bg2">
                <a:lumMod val="75000"/>
              </a:schemeClr>
            </a:gs>
            <a:gs pos="50000">
              <a:schemeClr val="accent1">
                <a:tint val="44500"/>
                <a:satMod val="160000"/>
              </a:schemeClr>
            </a:gs>
            <a:gs pos="100000">
              <a:schemeClr val="bg1"/>
            </a:gs>
          </a:gsLst>
          <a:lin ang="2700000" scaled="1"/>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OPEN INCIDENTS</a:t>
          </a:r>
        </a:p>
      </xdr:txBody>
    </xdr:sp>
    <xdr:clientData/>
  </xdr:twoCellAnchor>
  <xdr:twoCellAnchor>
    <xdr:from>
      <xdr:col>3</xdr:col>
      <xdr:colOff>590550</xdr:colOff>
      <xdr:row>2</xdr:row>
      <xdr:rowOff>133350</xdr:rowOff>
    </xdr:from>
    <xdr:to>
      <xdr:col>5</xdr:col>
      <xdr:colOff>9525</xdr:colOff>
      <xdr:row>4</xdr:row>
      <xdr:rowOff>9525</xdr:rowOff>
    </xdr:to>
    <xdr:sp macro="" textlink="">
      <xdr:nvSpPr>
        <xdr:cNvPr id="8" name="Rectangle: Rounded Corners 7">
          <a:extLst>
            <a:ext uri="{FF2B5EF4-FFF2-40B4-BE49-F238E27FC236}">
              <a16:creationId xmlns:a16="http://schemas.microsoft.com/office/drawing/2014/main" id="{4356F7F8-B7FD-B6DE-8A6D-FB41BA2DC649}"/>
            </a:ext>
          </a:extLst>
        </xdr:cNvPr>
        <xdr:cNvSpPr/>
      </xdr:nvSpPr>
      <xdr:spPr>
        <a:xfrm>
          <a:off x="4152900" y="657225"/>
          <a:ext cx="1066800" cy="266700"/>
        </a:xfrm>
        <a:prstGeom prst="roundRect">
          <a:avLst/>
        </a:prstGeom>
        <a:gradFill>
          <a:gsLst>
            <a:gs pos="0">
              <a:schemeClr val="bg2">
                <a:lumMod val="75000"/>
              </a:schemeClr>
            </a:gs>
            <a:gs pos="50000">
              <a:schemeClr val="accent1">
                <a:tint val="44500"/>
                <a:satMod val="160000"/>
              </a:schemeClr>
            </a:gs>
            <a:gs pos="100000">
              <a:schemeClr val="bg1"/>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HIGH/CRITICAL</a:t>
          </a:r>
        </a:p>
      </xdr:txBody>
    </xdr:sp>
    <xdr:clientData/>
  </xdr:twoCellAnchor>
  <xdr:twoCellAnchor>
    <xdr:from>
      <xdr:col>5</xdr:col>
      <xdr:colOff>619125</xdr:colOff>
      <xdr:row>2</xdr:row>
      <xdr:rowOff>95250</xdr:rowOff>
    </xdr:from>
    <xdr:to>
      <xdr:col>7</xdr:col>
      <xdr:colOff>9525</xdr:colOff>
      <xdr:row>3</xdr:row>
      <xdr:rowOff>200024</xdr:rowOff>
    </xdr:to>
    <xdr:sp macro="" textlink="">
      <xdr:nvSpPr>
        <xdr:cNvPr id="9" name="Rectangle: Rounded Corners 8">
          <a:extLst>
            <a:ext uri="{FF2B5EF4-FFF2-40B4-BE49-F238E27FC236}">
              <a16:creationId xmlns:a16="http://schemas.microsoft.com/office/drawing/2014/main" id="{9C965DAF-264F-B62B-B0C2-6601EFCD38CF}"/>
            </a:ext>
          </a:extLst>
        </xdr:cNvPr>
        <xdr:cNvSpPr/>
      </xdr:nvSpPr>
      <xdr:spPr>
        <a:xfrm>
          <a:off x="5934075" y="942975"/>
          <a:ext cx="1628775" cy="295274"/>
        </a:xfrm>
        <a:prstGeom prst="roundRect">
          <a:avLst/>
        </a:prstGeom>
        <a:gradFill>
          <a:gsLst>
            <a:gs pos="0">
              <a:schemeClr val="bg2">
                <a:lumMod val="75000"/>
              </a:schemeClr>
            </a:gs>
            <a:gs pos="50000">
              <a:schemeClr val="accent1">
                <a:tint val="44500"/>
                <a:satMod val="160000"/>
              </a:schemeClr>
            </a:gs>
            <a:gs pos="100000">
              <a:schemeClr val="bg1"/>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AVG.</a:t>
          </a:r>
          <a:r>
            <a:rPr lang="en-US" sz="1100" b="1" baseline="0">
              <a:solidFill>
                <a:schemeClr val="tx1"/>
              </a:solidFill>
            </a:rPr>
            <a:t> RESOLUTION (HRS)</a:t>
          </a:r>
          <a:endParaRPr lang="en-US" sz="1100" b="1">
            <a:solidFill>
              <a:schemeClr val="tx1"/>
            </a:solidFill>
          </a:endParaRPr>
        </a:p>
      </xdr:txBody>
    </xdr:sp>
    <xdr:clientData/>
  </xdr:twoCellAnchor>
  <xdr:twoCellAnchor>
    <xdr:from>
      <xdr:col>0</xdr:col>
      <xdr:colOff>38100</xdr:colOff>
      <xdr:row>0</xdr:row>
      <xdr:rowOff>57149</xdr:rowOff>
    </xdr:from>
    <xdr:to>
      <xdr:col>6</xdr:col>
      <xdr:colOff>1057275</xdr:colOff>
      <xdr:row>0</xdr:row>
      <xdr:rowOff>476250</xdr:rowOff>
    </xdr:to>
    <xdr:sp macro="" textlink="">
      <xdr:nvSpPr>
        <xdr:cNvPr id="10" name="Rectangle: Rounded Corners 9">
          <a:extLst>
            <a:ext uri="{FF2B5EF4-FFF2-40B4-BE49-F238E27FC236}">
              <a16:creationId xmlns:a16="http://schemas.microsoft.com/office/drawing/2014/main" id="{6F85AC75-F718-F3AA-3B20-47D473BE2D84}"/>
            </a:ext>
          </a:extLst>
        </xdr:cNvPr>
        <xdr:cNvSpPr/>
      </xdr:nvSpPr>
      <xdr:spPr>
        <a:xfrm>
          <a:off x="38100" y="57149"/>
          <a:ext cx="6943725" cy="419101"/>
        </a:xfrm>
        <a:prstGeom prst="roundRect">
          <a:avLst/>
        </a:prstGeom>
        <a:gradFill flip="none" rotWithShape="1">
          <a:gsLst>
            <a:gs pos="0">
              <a:schemeClr val="tx1">
                <a:lumMod val="65000"/>
                <a:lumOff val="35000"/>
              </a:schemeClr>
            </a:gs>
            <a:gs pos="74000">
              <a:schemeClr val="bg2">
                <a:lumMod val="90000"/>
              </a:schemeClr>
            </a:gs>
            <a:gs pos="83000">
              <a:schemeClr val="bg1"/>
            </a:gs>
            <a:gs pos="100000">
              <a:schemeClr val="bg1"/>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solidFill>
                <a:schemeClr val="tx1"/>
              </a:solidFill>
            </a:rPr>
            <a:t>SECURITY</a:t>
          </a:r>
          <a:r>
            <a:rPr lang="en-US" sz="2800" b="1" baseline="0">
              <a:solidFill>
                <a:schemeClr val="tx1"/>
              </a:solidFill>
            </a:rPr>
            <a:t> INCIDENT ANALYSIS</a:t>
          </a:r>
          <a:endParaRPr lang="en-US" sz="2800" b="1">
            <a:solidFill>
              <a:schemeClr val="tx1"/>
            </a:solidFill>
          </a:endParaRPr>
        </a:p>
      </xdr:txBody>
    </xdr:sp>
    <xdr:clientData/>
  </xdr:twoCellAnchor>
  <xdr:twoCellAnchor>
    <xdr:from>
      <xdr:col>7</xdr:col>
      <xdr:colOff>190500</xdr:colOff>
      <xdr:row>0</xdr:row>
      <xdr:rowOff>561975</xdr:rowOff>
    </xdr:from>
    <xdr:to>
      <xdr:col>11</xdr:col>
      <xdr:colOff>47624</xdr:colOff>
      <xdr:row>2</xdr:row>
      <xdr:rowOff>19049</xdr:rowOff>
    </xdr:to>
    <xdr:sp macro="" textlink="">
      <xdr:nvSpPr>
        <xdr:cNvPr id="11" name="Rectangle: Rounded Corners 10">
          <a:extLst>
            <a:ext uri="{FF2B5EF4-FFF2-40B4-BE49-F238E27FC236}">
              <a16:creationId xmlns:a16="http://schemas.microsoft.com/office/drawing/2014/main" id="{B8884858-A224-AF62-C04B-74BD607220E0}"/>
            </a:ext>
          </a:extLst>
        </xdr:cNvPr>
        <xdr:cNvSpPr/>
      </xdr:nvSpPr>
      <xdr:spPr>
        <a:xfrm>
          <a:off x="7800975" y="561975"/>
          <a:ext cx="2647949" cy="304799"/>
        </a:xfrm>
        <a:prstGeom prst="roundRect">
          <a:avLst/>
        </a:prstGeom>
        <a:gradFill>
          <a:gsLst>
            <a:gs pos="0">
              <a:schemeClr val="bg2"/>
            </a:gs>
            <a:gs pos="0">
              <a:schemeClr val="bg2">
                <a:lumMod val="75000"/>
              </a:schemeClr>
            </a:gs>
            <a:gs pos="55000">
              <a:schemeClr val="bg2"/>
            </a:gs>
            <a:gs pos="87000">
              <a:schemeClr val="bg1"/>
            </a:gs>
          </a:gsLst>
          <a:lin ang="162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chemeClr val="tx1"/>
              </a:solidFill>
            </a:rPr>
            <a:t>BUSINESS</a:t>
          </a:r>
          <a:r>
            <a:rPr lang="en-US" sz="1100" b="1" baseline="0">
              <a:solidFill>
                <a:schemeClr val="tx1"/>
              </a:solidFill>
            </a:rPr>
            <a:t> QUESTION</a:t>
          </a:r>
          <a:endParaRPr lang="en-US" sz="1100" b="1">
            <a:solidFill>
              <a:schemeClr val="tx1"/>
            </a:solidFill>
          </a:endParaRPr>
        </a:p>
      </xdr:txBody>
    </xdr:sp>
    <xdr:clientData/>
  </xdr:twoCellAnchor>
  <xdr:twoCellAnchor>
    <xdr:from>
      <xdr:col>11</xdr:col>
      <xdr:colOff>76199</xdr:colOff>
      <xdr:row>0</xdr:row>
      <xdr:rowOff>552450</xdr:rowOff>
    </xdr:from>
    <xdr:to>
      <xdr:col>16</xdr:col>
      <xdr:colOff>485775</xdr:colOff>
      <xdr:row>2</xdr:row>
      <xdr:rowOff>19050</xdr:rowOff>
    </xdr:to>
    <xdr:sp macro="" textlink="">
      <xdr:nvSpPr>
        <xdr:cNvPr id="12" name="Rectangle: Rounded Corners 11">
          <a:extLst>
            <a:ext uri="{FF2B5EF4-FFF2-40B4-BE49-F238E27FC236}">
              <a16:creationId xmlns:a16="http://schemas.microsoft.com/office/drawing/2014/main" id="{948F7815-9310-415A-E183-17A48F8DE2C0}"/>
            </a:ext>
          </a:extLst>
        </xdr:cNvPr>
        <xdr:cNvSpPr/>
      </xdr:nvSpPr>
      <xdr:spPr>
        <a:xfrm>
          <a:off x="10477499" y="552450"/>
          <a:ext cx="3457576" cy="314325"/>
        </a:xfrm>
        <a:prstGeom prst="roundRect">
          <a:avLst/>
        </a:prstGeom>
        <a:gradFill>
          <a:gsLst>
            <a:gs pos="0">
              <a:schemeClr val="bg2"/>
            </a:gs>
            <a:gs pos="0">
              <a:schemeClr val="bg2">
                <a:lumMod val="75000"/>
              </a:schemeClr>
            </a:gs>
            <a:gs pos="55000">
              <a:schemeClr val="bg2"/>
            </a:gs>
            <a:gs pos="87000">
              <a:schemeClr val="bg1"/>
            </a:gs>
          </a:gsLst>
          <a:lin ang="162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chemeClr val="tx1"/>
              </a:solidFill>
            </a:rPr>
            <a:t>FINDINGS</a:t>
          </a:r>
        </a:p>
      </xdr:txBody>
    </xdr:sp>
    <xdr:clientData/>
  </xdr:twoCellAnchor>
  <xdr:twoCellAnchor>
    <xdr:from>
      <xdr:col>7</xdr:col>
      <xdr:colOff>219074</xdr:colOff>
      <xdr:row>2</xdr:row>
      <xdr:rowOff>28575</xdr:rowOff>
    </xdr:from>
    <xdr:to>
      <xdr:col>11</xdr:col>
      <xdr:colOff>47624</xdr:colOff>
      <xdr:row>4</xdr:row>
      <xdr:rowOff>171450</xdr:rowOff>
    </xdr:to>
    <xdr:sp macro="" textlink="">
      <xdr:nvSpPr>
        <xdr:cNvPr id="13" name="Rectangle: Rounded Corners 12">
          <a:extLst>
            <a:ext uri="{FF2B5EF4-FFF2-40B4-BE49-F238E27FC236}">
              <a16:creationId xmlns:a16="http://schemas.microsoft.com/office/drawing/2014/main" id="{23564C9C-D1EB-8FAD-F8D2-47F926FF6F78}"/>
            </a:ext>
          </a:extLst>
        </xdr:cNvPr>
        <xdr:cNvSpPr/>
      </xdr:nvSpPr>
      <xdr:spPr>
        <a:xfrm>
          <a:off x="7829549" y="876300"/>
          <a:ext cx="2619375" cy="533400"/>
        </a:xfrm>
        <a:prstGeom prst="round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Which event incident type occours most often?</a:t>
          </a:r>
        </a:p>
      </xdr:txBody>
    </xdr:sp>
    <xdr:clientData/>
  </xdr:twoCellAnchor>
  <xdr:twoCellAnchor>
    <xdr:from>
      <xdr:col>7</xdr:col>
      <xdr:colOff>200026</xdr:colOff>
      <xdr:row>4</xdr:row>
      <xdr:rowOff>142874</xdr:rowOff>
    </xdr:from>
    <xdr:to>
      <xdr:col>11</xdr:col>
      <xdr:colOff>57151</xdr:colOff>
      <xdr:row>6</xdr:row>
      <xdr:rowOff>66675</xdr:rowOff>
    </xdr:to>
    <xdr:sp macro="" textlink="">
      <xdr:nvSpPr>
        <xdr:cNvPr id="14" name="Rectangle: Rounded Corners 13">
          <a:extLst>
            <a:ext uri="{FF2B5EF4-FFF2-40B4-BE49-F238E27FC236}">
              <a16:creationId xmlns:a16="http://schemas.microsoft.com/office/drawing/2014/main" id="{BEDEE3BA-77F0-6898-227D-D21E407BFDA8}"/>
            </a:ext>
          </a:extLst>
        </xdr:cNvPr>
        <xdr:cNvSpPr/>
      </xdr:nvSpPr>
      <xdr:spPr>
        <a:xfrm>
          <a:off x="7810501" y="1381124"/>
          <a:ext cx="2647950" cy="485776"/>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Which severity levels dominate?</a:t>
          </a:r>
        </a:p>
      </xdr:txBody>
    </xdr:sp>
    <xdr:clientData/>
  </xdr:twoCellAnchor>
  <xdr:twoCellAnchor>
    <xdr:from>
      <xdr:col>7</xdr:col>
      <xdr:colOff>190500</xdr:colOff>
      <xdr:row>6</xdr:row>
      <xdr:rowOff>28575</xdr:rowOff>
    </xdr:from>
    <xdr:to>
      <xdr:col>11</xdr:col>
      <xdr:colOff>57150</xdr:colOff>
      <xdr:row>9</xdr:row>
      <xdr:rowOff>19050</xdr:rowOff>
    </xdr:to>
    <xdr:sp macro="" textlink="">
      <xdr:nvSpPr>
        <xdr:cNvPr id="15" name="Rectangle: Rounded Corners 14">
          <a:extLst>
            <a:ext uri="{FF2B5EF4-FFF2-40B4-BE49-F238E27FC236}">
              <a16:creationId xmlns:a16="http://schemas.microsoft.com/office/drawing/2014/main" id="{D2A1B4CE-8195-3AF7-5DD8-485A0CB85318}"/>
            </a:ext>
          </a:extLst>
        </xdr:cNvPr>
        <xdr:cNvSpPr/>
      </xdr:nvSpPr>
      <xdr:spPr>
        <a:xfrm>
          <a:off x="7800975" y="1828800"/>
          <a:ext cx="2657475" cy="571500"/>
        </a:xfrm>
        <a:prstGeom prst="round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Which departments experience the most incidents?</a:t>
          </a:r>
        </a:p>
      </xdr:txBody>
    </xdr:sp>
    <xdr:clientData/>
  </xdr:twoCellAnchor>
  <xdr:twoCellAnchor>
    <xdr:from>
      <xdr:col>11</xdr:col>
      <xdr:colOff>76199</xdr:colOff>
      <xdr:row>2</xdr:row>
      <xdr:rowOff>19051</xdr:rowOff>
    </xdr:from>
    <xdr:to>
      <xdr:col>16</xdr:col>
      <xdr:colOff>485775</xdr:colOff>
      <xdr:row>4</xdr:row>
      <xdr:rowOff>142876</xdr:rowOff>
    </xdr:to>
    <xdr:sp macro="" textlink="">
      <xdr:nvSpPr>
        <xdr:cNvPr id="16" name="Rectangle: Rounded Corners 15">
          <a:extLst>
            <a:ext uri="{FF2B5EF4-FFF2-40B4-BE49-F238E27FC236}">
              <a16:creationId xmlns:a16="http://schemas.microsoft.com/office/drawing/2014/main" id="{C523A7DE-ABED-445C-BFB0-3ADD5D8AAE83}"/>
            </a:ext>
          </a:extLst>
        </xdr:cNvPr>
        <xdr:cNvSpPr/>
      </xdr:nvSpPr>
      <xdr:spPr>
        <a:xfrm>
          <a:off x="10477499" y="866776"/>
          <a:ext cx="3457576" cy="51435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Compare</a:t>
          </a:r>
          <a:r>
            <a:rPr lang="en-US" sz="1100" baseline="0"/>
            <a:t> the incident counts in the  Analysis sheet.</a:t>
          </a:r>
        </a:p>
        <a:p>
          <a:pPr algn="l"/>
          <a:endParaRPr lang="en-US" sz="1100"/>
        </a:p>
      </xdr:txBody>
    </xdr:sp>
    <xdr:clientData/>
  </xdr:twoCellAnchor>
  <xdr:twoCellAnchor>
    <xdr:from>
      <xdr:col>11</xdr:col>
      <xdr:colOff>85724</xdr:colOff>
      <xdr:row>4</xdr:row>
      <xdr:rowOff>123825</xdr:rowOff>
    </xdr:from>
    <xdr:to>
      <xdr:col>16</xdr:col>
      <xdr:colOff>542925</xdr:colOff>
      <xdr:row>6</xdr:row>
      <xdr:rowOff>133349</xdr:rowOff>
    </xdr:to>
    <xdr:sp macro="" textlink="">
      <xdr:nvSpPr>
        <xdr:cNvPr id="17" name="Rectangle: Rounded Corners 16">
          <a:extLst>
            <a:ext uri="{FF2B5EF4-FFF2-40B4-BE49-F238E27FC236}">
              <a16:creationId xmlns:a16="http://schemas.microsoft.com/office/drawing/2014/main" id="{A555207F-0166-0C42-6D7B-CCBA307C796A}"/>
            </a:ext>
          </a:extLst>
        </xdr:cNvPr>
        <xdr:cNvSpPr/>
      </xdr:nvSpPr>
      <xdr:spPr>
        <a:xfrm>
          <a:off x="10487024" y="1362075"/>
          <a:ext cx="3505201" cy="571499"/>
        </a:xfrm>
        <a:prstGeom prst="round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Review</a:t>
          </a:r>
          <a:r>
            <a:rPr lang="en-US" sz="1100" baseline="0"/>
            <a:t> the severity chart to identify the number of High and Critical incidents.</a:t>
          </a:r>
          <a:endParaRPr lang="en-US" sz="1100"/>
        </a:p>
      </xdr:txBody>
    </xdr:sp>
    <xdr:clientData/>
  </xdr:twoCellAnchor>
  <xdr:twoCellAnchor>
    <xdr:from>
      <xdr:col>11</xdr:col>
      <xdr:colOff>85725</xdr:colOff>
      <xdr:row>6</xdr:row>
      <xdr:rowOff>47625</xdr:rowOff>
    </xdr:from>
    <xdr:to>
      <xdr:col>16</xdr:col>
      <xdr:colOff>495300</xdr:colOff>
      <xdr:row>9</xdr:row>
      <xdr:rowOff>19050</xdr:rowOff>
    </xdr:to>
    <xdr:sp macro="" textlink="">
      <xdr:nvSpPr>
        <xdr:cNvPr id="18" name="Rectangle: Rounded Corners 17">
          <a:extLst>
            <a:ext uri="{FF2B5EF4-FFF2-40B4-BE49-F238E27FC236}">
              <a16:creationId xmlns:a16="http://schemas.microsoft.com/office/drawing/2014/main" id="{61AFA5FF-61D8-0798-2751-BBD14990E755}"/>
            </a:ext>
          </a:extLst>
        </xdr:cNvPr>
        <xdr:cNvSpPr/>
      </xdr:nvSpPr>
      <xdr:spPr>
        <a:xfrm>
          <a:off x="10487025" y="1847850"/>
          <a:ext cx="3457575" cy="561975"/>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Compare</a:t>
          </a:r>
          <a:r>
            <a:rPr lang="en-US" sz="1100" baseline="0"/>
            <a:t> the department counts in the Analysis sheet.</a:t>
          </a:r>
          <a:endParaRPr lang="en-US" sz="1100"/>
        </a:p>
      </xdr:txBody>
    </xdr:sp>
    <xdr:clientData/>
  </xdr:twoCellAnchor>
  <xdr:twoCellAnchor>
    <xdr:from>
      <xdr:col>16</xdr:col>
      <xdr:colOff>514348</xdr:colOff>
      <xdr:row>0</xdr:row>
      <xdr:rowOff>552450</xdr:rowOff>
    </xdr:from>
    <xdr:to>
      <xdr:col>20</xdr:col>
      <xdr:colOff>400050</xdr:colOff>
      <xdr:row>2</xdr:row>
      <xdr:rowOff>9525</xdr:rowOff>
    </xdr:to>
    <xdr:sp macro="" textlink="">
      <xdr:nvSpPr>
        <xdr:cNvPr id="19" name="Rectangle: Rounded Corners 18">
          <a:extLst>
            <a:ext uri="{FF2B5EF4-FFF2-40B4-BE49-F238E27FC236}">
              <a16:creationId xmlns:a16="http://schemas.microsoft.com/office/drawing/2014/main" id="{2FCD83D7-8CFA-3084-DBB5-C32D5654CD78}"/>
            </a:ext>
          </a:extLst>
        </xdr:cNvPr>
        <xdr:cNvSpPr/>
      </xdr:nvSpPr>
      <xdr:spPr>
        <a:xfrm>
          <a:off x="13963648" y="552450"/>
          <a:ext cx="2324102" cy="304800"/>
        </a:xfrm>
        <a:prstGeom prst="round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RECOMMENDED</a:t>
          </a:r>
          <a:r>
            <a:rPr lang="en-US" sz="1100" b="1" baseline="0">
              <a:solidFill>
                <a:schemeClr val="tx1"/>
              </a:solidFill>
            </a:rPr>
            <a:t> ACTION</a:t>
          </a:r>
          <a:endParaRPr lang="en-US" sz="1100" b="1">
            <a:solidFill>
              <a:schemeClr val="tx1"/>
            </a:solidFill>
          </a:endParaRPr>
        </a:p>
      </xdr:txBody>
    </xdr:sp>
    <xdr:clientData/>
  </xdr:twoCellAnchor>
  <xdr:twoCellAnchor>
    <xdr:from>
      <xdr:col>16</xdr:col>
      <xdr:colOff>466725</xdr:colOff>
      <xdr:row>2</xdr:row>
      <xdr:rowOff>9525</xdr:rowOff>
    </xdr:from>
    <xdr:to>
      <xdr:col>20</xdr:col>
      <xdr:colOff>447674</xdr:colOff>
      <xdr:row>4</xdr:row>
      <xdr:rowOff>104775</xdr:rowOff>
    </xdr:to>
    <xdr:sp macro="" textlink="">
      <xdr:nvSpPr>
        <xdr:cNvPr id="20" name="Rectangle: Rounded Corners 19">
          <a:extLst>
            <a:ext uri="{FF2B5EF4-FFF2-40B4-BE49-F238E27FC236}">
              <a16:creationId xmlns:a16="http://schemas.microsoft.com/office/drawing/2014/main" id="{252DB967-5778-88E2-3DA6-BB21FA37ED0A}"/>
            </a:ext>
          </a:extLst>
        </xdr:cNvPr>
        <xdr:cNvSpPr/>
      </xdr:nvSpPr>
      <xdr:spPr>
        <a:xfrm>
          <a:off x="13916025" y="857250"/>
          <a:ext cx="2419349" cy="485775"/>
        </a:xfrm>
        <a:prstGeom prst="round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Prioritize</a:t>
          </a:r>
          <a:r>
            <a:rPr lang="en-US" sz="1100" baseline="0"/>
            <a:t> prevention efforts for the most frequent incident types.</a:t>
          </a:r>
          <a:endParaRPr lang="en-US" sz="1100"/>
        </a:p>
      </xdr:txBody>
    </xdr:sp>
    <xdr:clientData/>
  </xdr:twoCellAnchor>
  <xdr:twoCellAnchor>
    <xdr:from>
      <xdr:col>16</xdr:col>
      <xdr:colOff>523875</xdr:colOff>
      <xdr:row>4</xdr:row>
      <xdr:rowOff>85724</xdr:rowOff>
    </xdr:from>
    <xdr:to>
      <xdr:col>20</xdr:col>
      <xdr:colOff>447675</xdr:colOff>
      <xdr:row>6</xdr:row>
      <xdr:rowOff>123825</xdr:rowOff>
    </xdr:to>
    <xdr:sp macro="" textlink="">
      <xdr:nvSpPr>
        <xdr:cNvPr id="21" name="Rectangle: Rounded Corners 20">
          <a:extLst>
            <a:ext uri="{FF2B5EF4-FFF2-40B4-BE49-F238E27FC236}">
              <a16:creationId xmlns:a16="http://schemas.microsoft.com/office/drawing/2014/main" id="{933714A9-3553-4D6A-3E1C-E50914D77D21}"/>
            </a:ext>
          </a:extLst>
        </xdr:cNvPr>
        <xdr:cNvSpPr/>
      </xdr:nvSpPr>
      <xdr:spPr>
        <a:xfrm>
          <a:off x="13973175" y="1323974"/>
          <a:ext cx="2362200" cy="600076"/>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Establish clear escelation</a:t>
          </a:r>
          <a:r>
            <a:rPr lang="en-US" sz="1100" baseline="0"/>
            <a:t> procedures for severe incident types.</a:t>
          </a:r>
          <a:endParaRPr lang="en-US" sz="1100"/>
        </a:p>
      </xdr:txBody>
    </xdr:sp>
    <xdr:clientData/>
  </xdr:twoCellAnchor>
  <xdr:twoCellAnchor>
    <xdr:from>
      <xdr:col>16</xdr:col>
      <xdr:colOff>523875</xdr:colOff>
      <xdr:row>6</xdr:row>
      <xdr:rowOff>85724</xdr:rowOff>
    </xdr:from>
    <xdr:to>
      <xdr:col>20</xdr:col>
      <xdr:colOff>466725</xdr:colOff>
      <xdr:row>9</xdr:row>
      <xdr:rowOff>28575</xdr:rowOff>
    </xdr:to>
    <xdr:sp macro="" textlink="">
      <xdr:nvSpPr>
        <xdr:cNvPr id="22" name="Rectangle: Rounded Corners 21">
          <a:extLst>
            <a:ext uri="{FF2B5EF4-FFF2-40B4-BE49-F238E27FC236}">
              <a16:creationId xmlns:a16="http://schemas.microsoft.com/office/drawing/2014/main" id="{6A0995C8-CCF0-FD73-CAEB-062CAF194EF8}"/>
            </a:ext>
          </a:extLst>
        </xdr:cNvPr>
        <xdr:cNvSpPr/>
      </xdr:nvSpPr>
      <xdr:spPr>
        <a:xfrm>
          <a:off x="13973175" y="1885949"/>
          <a:ext cx="2381250" cy="533401"/>
        </a:xfrm>
        <a:prstGeom prst="round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Review department -specific security awareness and access controls.</a:t>
          </a:r>
        </a:p>
      </xdr:txBody>
    </xdr:sp>
    <xdr:clientData/>
  </xdr:twoCellAnchor>
  <xdr:twoCellAnchor>
    <xdr:from>
      <xdr:col>10</xdr:col>
      <xdr:colOff>514350</xdr:colOff>
      <xdr:row>1</xdr:row>
      <xdr:rowOff>9525</xdr:rowOff>
    </xdr:from>
    <xdr:to>
      <xdr:col>11</xdr:col>
      <xdr:colOff>209550</xdr:colOff>
      <xdr:row>3</xdr:row>
      <xdr:rowOff>57150</xdr:rowOff>
    </xdr:to>
    <xdr:sp macro="" textlink="">
      <xdr:nvSpPr>
        <xdr:cNvPr id="23" name="Star: 4 Points 22">
          <a:extLst>
            <a:ext uri="{FF2B5EF4-FFF2-40B4-BE49-F238E27FC236}">
              <a16:creationId xmlns:a16="http://schemas.microsoft.com/office/drawing/2014/main" id="{07B16253-8CA0-177A-2439-CCBBBE26E53D}"/>
            </a:ext>
          </a:extLst>
        </xdr:cNvPr>
        <xdr:cNvSpPr/>
      </xdr:nvSpPr>
      <xdr:spPr>
        <a:xfrm>
          <a:off x="10306050" y="657225"/>
          <a:ext cx="304800" cy="438150"/>
        </a:xfrm>
        <a:prstGeom prst="star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533400</xdr:colOff>
      <xdr:row>3</xdr:row>
      <xdr:rowOff>85725</xdr:rowOff>
    </xdr:from>
    <xdr:to>
      <xdr:col>11</xdr:col>
      <xdr:colOff>209550</xdr:colOff>
      <xdr:row>4</xdr:row>
      <xdr:rowOff>333375</xdr:rowOff>
    </xdr:to>
    <xdr:sp macro="" textlink="">
      <xdr:nvSpPr>
        <xdr:cNvPr id="24" name="Star: 4 Points 23">
          <a:extLst>
            <a:ext uri="{FF2B5EF4-FFF2-40B4-BE49-F238E27FC236}">
              <a16:creationId xmlns:a16="http://schemas.microsoft.com/office/drawing/2014/main" id="{58A9DF44-C98C-86A8-6B72-200B769D5EE0}"/>
            </a:ext>
          </a:extLst>
        </xdr:cNvPr>
        <xdr:cNvSpPr/>
      </xdr:nvSpPr>
      <xdr:spPr>
        <a:xfrm>
          <a:off x="10325100" y="1123950"/>
          <a:ext cx="285750" cy="447675"/>
        </a:xfrm>
        <a:prstGeom prst="star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504825</xdr:colOff>
      <xdr:row>5</xdr:row>
      <xdr:rowOff>9525</xdr:rowOff>
    </xdr:from>
    <xdr:to>
      <xdr:col>11</xdr:col>
      <xdr:colOff>247650</xdr:colOff>
      <xdr:row>7</xdr:row>
      <xdr:rowOff>0</xdr:rowOff>
    </xdr:to>
    <xdr:sp macro="" textlink="">
      <xdr:nvSpPr>
        <xdr:cNvPr id="25" name="Star: 4 Points 24">
          <a:extLst>
            <a:ext uri="{FF2B5EF4-FFF2-40B4-BE49-F238E27FC236}">
              <a16:creationId xmlns:a16="http://schemas.microsoft.com/office/drawing/2014/main" id="{1162909F-2D7E-657D-BA24-659EE9603A1B}"/>
            </a:ext>
          </a:extLst>
        </xdr:cNvPr>
        <xdr:cNvSpPr/>
      </xdr:nvSpPr>
      <xdr:spPr>
        <a:xfrm>
          <a:off x="10296525" y="1619250"/>
          <a:ext cx="352425" cy="381000"/>
        </a:xfrm>
        <a:prstGeom prst="star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323850</xdr:colOff>
      <xdr:row>1</xdr:row>
      <xdr:rowOff>19050</xdr:rowOff>
    </xdr:from>
    <xdr:to>
      <xdr:col>17</xdr:col>
      <xdr:colOff>47625</xdr:colOff>
      <xdr:row>3</xdr:row>
      <xdr:rowOff>38100</xdr:rowOff>
    </xdr:to>
    <xdr:sp macro="" textlink="">
      <xdr:nvSpPr>
        <xdr:cNvPr id="26" name="Star: 4 Points 25">
          <a:extLst>
            <a:ext uri="{FF2B5EF4-FFF2-40B4-BE49-F238E27FC236}">
              <a16:creationId xmlns:a16="http://schemas.microsoft.com/office/drawing/2014/main" id="{EC296635-F051-B3EC-D91F-72FD5DD06D99}"/>
            </a:ext>
          </a:extLst>
        </xdr:cNvPr>
        <xdr:cNvSpPr/>
      </xdr:nvSpPr>
      <xdr:spPr>
        <a:xfrm>
          <a:off x="13773150" y="666750"/>
          <a:ext cx="333375" cy="409575"/>
        </a:xfrm>
        <a:prstGeom prst="star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333376</xdr:colOff>
      <xdr:row>3</xdr:row>
      <xdr:rowOff>95250</xdr:rowOff>
    </xdr:from>
    <xdr:to>
      <xdr:col>17</xdr:col>
      <xdr:colOff>66676</xdr:colOff>
      <xdr:row>4</xdr:row>
      <xdr:rowOff>323850</xdr:rowOff>
    </xdr:to>
    <xdr:sp macro="" textlink="">
      <xdr:nvSpPr>
        <xdr:cNvPr id="27" name="Star: 4 Points 26">
          <a:extLst>
            <a:ext uri="{FF2B5EF4-FFF2-40B4-BE49-F238E27FC236}">
              <a16:creationId xmlns:a16="http://schemas.microsoft.com/office/drawing/2014/main" id="{172839BD-6A9F-CE7A-C251-187E3CD6823C}"/>
            </a:ext>
          </a:extLst>
        </xdr:cNvPr>
        <xdr:cNvSpPr/>
      </xdr:nvSpPr>
      <xdr:spPr>
        <a:xfrm>
          <a:off x="13782676" y="1133475"/>
          <a:ext cx="342900" cy="428625"/>
        </a:xfrm>
        <a:prstGeom prst="star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352425</xdr:colOff>
      <xdr:row>4</xdr:row>
      <xdr:rowOff>342901</xdr:rowOff>
    </xdr:from>
    <xdr:to>
      <xdr:col>17</xdr:col>
      <xdr:colOff>66674</xdr:colOff>
      <xdr:row>7</xdr:row>
      <xdr:rowOff>38101</xdr:rowOff>
    </xdr:to>
    <xdr:sp macro="" textlink="">
      <xdr:nvSpPr>
        <xdr:cNvPr id="28" name="Star: 4 Points 27">
          <a:extLst>
            <a:ext uri="{FF2B5EF4-FFF2-40B4-BE49-F238E27FC236}">
              <a16:creationId xmlns:a16="http://schemas.microsoft.com/office/drawing/2014/main" id="{BD488801-1F11-58A0-7260-591E962B8545}"/>
            </a:ext>
          </a:extLst>
        </xdr:cNvPr>
        <xdr:cNvSpPr/>
      </xdr:nvSpPr>
      <xdr:spPr>
        <a:xfrm>
          <a:off x="13801725" y="1581151"/>
          <a:ext cx="323849" cy="457200"/>
        </a:xfrm>
        <a:prstGeom prst="star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1114425</xdr:colOff>
      <xdr:row>0</xdr:row>
      <xdr:rowOff>38100</xdr:rowOff>
    </xdr:from>
    <xdr:to>
      <xdr:col>20</xdr:col>
      <xdr:colOff>342900</xdr:colOff>
      <xdr:row>0</xdr:row>
      <xdr:rowOff>466725</xdr:rowOff>
    </xdr:to>
    <xdr:sp macro="" textlink="">
      <xdr:nvSpPr>
        <xdr:cNvPr id="29" name="Rectangle 28">
          <a:extLst>
            <a:ext uri="{FF2B5EF4-FFF2-40B4-BE49-F238E27FC236}">
              <a16:creationId xmlns:a16="http://schemas.microsoft.com/office/drawing/2014/main" id="{E405880D-3DCA-1765-5727-615C41A6BC50}"/>
            </a:ext>
          </a:extLst>
        </xdr:cNvPr>
        <xdr:cNvSpPr/>
      </xdr:nvSpPr>
      <xdr:spPr>
        <a:xfrm>
          <a:off x="7239000" y="38100"/>
          <a:ext cx="9191625" cy="428625"/>
        </a:xfrm>
        <a:prstGeom prst="rect">
          <a:avLst/>
        </a:prstGeom>
        <a:solidFill>
          <a:schemeClr val="accent4">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i="1">
              <a:solidFill>
                <a:schemeClr val="tx1"/>
              </a:solidFill>
            </a:rPr>
            <a:t>This</a:t>
          </a:r>
          <a:r>
            <a:rPr lang="en-US" sz="1000" i="1" baseline="0">
              <a:solidFill>
                <a:schemeClr val="tx1"/>
              </a:solidFill>
            </a:rPr>
            <a:t> project uses simulated incident data for educational purposes. The results do not represent real security incidents, and the recommendations should not be interpreted as the findings of an actual security investigation.</a:t>
          </a:r>
          <a:endParaRPr lang="en-US" sz="1000" i="1">
            <a:solidFill>
              <a:schemeClr val="tx1"/>
            </a:solidFill>
          </a:endParaRPr>
        </a:p>
      </xdr:txBody>
    </xdr:sp>
    <xdr:clientData/>
  </xdr:twoCellAnchor>
  <xdr:twoCellAnchor>
    <xdr:from>
      <xdr:col>7</xdr:col>
      <xdr:colOff>552450</xdr:colOff>
      <xdr:row>10</xdr:row>
      <xdr:rowOff>57150</xdr:rowOff>
    </xdr:from>
    <xdr:to>
      <xdr:col>7</xdr:col>
      <xdr:colOff>733425</xdr:colOff>
      <xdr:row>10</xdr:row>
      <xdr:rowOff>161925</xdr:rowOff>
    </xdr:to>
    <xdr:sp macro="" textlink="">
      <xdr:nvSpPr>
        <xdr:cNvPr id="30" name="Flowchart: Merge 29">
          <a:extLst>
            <a:ext uri="{FF2B5EF4-FFF2-40B4-BE49-F238E27FC236}">
              <a16:creationId xmlns:a16="http://schemas.microsoft.com/office/drawing/2014/main" id="{6BFBEF4E-7487-7EF7-8E65-C6270EBFC8E2}"/>
            </a:ext>
          </a:extLst>
        </xdr:cNvPr>
        <xdr:cNvSpPr/>
      </xdr:nvSpPr>
      <xdr:spPr>
        <a:xfrm>
          <a:off x="8105775" y="2638425"/>
          <a:ext cx="180975" cy="104775"/>
        </a:xfrm>
        <a:prstGeom prst="flowChartMerg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185602-C472-4B97-BAA3-A333CCE97B91}" name="Table1" displayName="Table1" ref="A1:H2" insertRow="1" insertRowShift="1" totalsRowShown="0">
  <autoFilter ref="A1:H2" xr:uid="{1C185602-C472-4B97-BAA3-A333CCE97B91}"/>
  <tableColumns count="8">
    <tableColumn id="1" xr3:uid="{7F164EB1-4B80-4173-B030-6E00046AF93B}" name="Incident_ID"/>
    <tableColumn id="2" xr3:uid="{F67953C2-1FEC-422E-812E-5FB975D898F6}" name="Date"/>
    <tableColumn id="3" xr3:uid="{AD9D0A74-BC5D-4264-BE17-DA1315724787}" name="Incident_Type"/>
    <tableColumn id="4" xr3:uid="{93B4C416-C77A-43FF-A3E5-F555DC9DAC73}" name="Severity"/>
    <tableColumn id="5" xr3:uid="{3F36AE8C-9D58-4FBC-8845-B7A7ED4AC739}" name="Status"/>
    <tableColumn id="6" xr3:uid="{85DD3CEC-72F5-4AE7-890D-8D0FB9494D8B}" name="Department"/>
    <tableColumn id="7" xr3:uid="{C2D9B5C4-B1D9-4E0B-A657-65EC1D928DCD}" name="Resolution_Hours"/>
    <tableColumn id="8" xr3:uid="{AD0C968C-CDF9-46E9-9E3D-28173E3440A1}" name="Root_Cau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5411F-8988-4C29-B9AA-AAF863E61215}">
  <dimension ref="A1:H12"/>
  <sheetViews>
    <sheetView workbookViewId="0">
      <selection activeCell="A2" sqref="A2"/>
    </sheetView>
  </sheetViews>
  <sheetFormatPr defaultRowHeight="15" x14ac:dyDescent="0.25"/>
  <cols>
    <col min="1" max="1" width="15.7109375" customWidth="1"/>
    <col min="3" max="3" width="23" customWidth="1"/>
    <col min="4" max="4" width="10.5703125" customWidth="1"/>
    <col min="6" max="6" width="14" customWidth="1"/>
    <col min="7" max="7" width="19.28515625" customWidth="1"/>
    <col min="8" max="8" width="14" customWidth="1"/>
  </cols>
  <sheetData>
    <row r="1" spans="1:8" x14ac:dyDescent="0.25">
      <c r="A1" t="s">
        <v>0</v>
      </c>
      <c r="B1" t="s">
        <v>1</v>
      </c>
      <c r="C1" t="s">
        <v>2</v>
      </c>
      <c r="D1" t="s">
        <v>3</v>
      </c>
      <c r="E1" t="s">
        <v>4</v>
      </c>
      <c r="F1" t="s">
        <v>5</v>
      </c>
      <c r="G1" t="s">
        <v>6</v>
      </c>
      <c r="H1" t="s">
        <v>7</v>
      </c>
    </row>
    <row r="3" spans="1:8" x14ac:dyDescent="0.25">
      <c r="A3" t="s">
        <v>8</v>
      </c>
      <c r="B3" s="1">
        <v>46266</v>
      </c>
      <c r="C3" t="s">
        <v>9</v>
      </c>
      <c r="D3" t="s">
        <v>10</v>
      </c>
      <c r="E3" t="s">
        <v>11</v>
      </c>
      <c r="F3" t="s">
        <v>12</v>
      </c>
      <c r="G3">
        <v>2.5</v>
      </c>
      <c r="H3" t="s">
        <v>13</v>
      </c>
    </row>
    <row r="4" spans="1:8" x14ac:dyDescent="0.25">
      <c r="A4" t="s">
        <v>14</v>
      </c>
      <c r="B4" s="1">
        <v>46267</v>
      </c>
      <c r="C4" t="s">
        <v>23</v>
      </c>
      <c r="D4" t="s">
        <v>27</v>
      </c>
      <c r="E4" t="s">
        <v>11</v>
      </c>
      <c r="F4" t="s">
        <v>31</v>
      </c>
      <c r="G4">
        <v>6.8</v>
      </c>
      <c r="H4" t="s">
        <v>35</v>
      </c>
    </row>
    <row r="5" spans="1:8" x14ac:dyDescent="0.25">
      <c r="A5" t="s">
        <v>15</v>
      </c>
      <c r="B5" s="1">
        <v>46268</v>
      </c>
      <c r="C5" t="s">
        <v>24</v>
      </c>
      <c r="D5" t="s">
        <v>10</v>
      </c>
      <c r="E5" t="s">
        <v>29</v>
      </c>
      <c r="F5" t="s">
        <v>32</v>
      </c>
      <c r="H5" t="s">
        <v>36</v>
      </c>
    </row>
    <row r="6" spans="1:8" x14ac:dyDescent="0.25">
      <c r="A6" t="s">
        <v>16</v>
      </c>
      <c r="B6" s="1">
        <v>46269</v>
      </c>
      <c r="C6" t="s">
        <v>25</v>
      </c>
      <c r="D6" t="s">
        <v>27</v>
      </c>
      <c r="E6" t="s">
        <v>11</v>
      </c>
      <c r="F6" t="s">
        <v>31</v>
      </c>
      <c r="G6">
        <v>5.5</v>
      </c>
      <c r="H6" t="s">
        <v>36</v>
      </c>
    </row>
    <row r="7" spans="1:8" x14ac:dyDescent="0.25">
      <c r="A7" t="s">
        <v>17</v>
      </c>
      <c r="B7" s="1">
        <v>46270</v>
      </c>
      <c r="C7" t="s">
        <v>9</v>
      </c>
      <c r="D7" t="s">
        <v>28</v>
      </c>
      <c r="E7" t="s">
        <v>11</v>
      </c>
      <c r="F7" t="s">
        <v>33</v>
      </c>
      <c r="G7">
        <v>1.5</v>
      </c>
      <c r="H7" t="s">
        <v>37</v>
      </c>
    </row>
    <row r="8" spans="1:8" x14ac:dyDescent="0.25">
      <c r="A8" t="s">
        <v>18</v>
      </c>
      <c r="B8" s="1">
        <v>46271</v>
      </c>
      <c r="C8" t="s">
        <v>26</v>
      </c>
      <c r="D8" t="s">
        <v>10</v>
      </c>
      <c r="E8" t="s">
        <v>11</v>
      </c>
      <c r="F8" t="s">
        <v>31</v>
      </c>
      <c r="G8">
        <v>4.2</v>
      </c>
      <c r="H8" t="s">
        <v>38</v>
      </c>
    </row>
    <row r="9" spans="1:8" x14ac:dyDescent="0.25">
      <c r="A9" t="s">
        <v>19</v>
      </c>
      <c r="B9" s="1">
        <v>46272</v>
      </c>
      <c r="C9" t="s">
        <v>23</v>
      </c>
      <c r="D9" t="s">
        <v>28</v>
      </c>
      <c r="E9" t="s">
        <v>11</v>
      </c>
      <c r="F9" t="s">
        <v>34</v>
      </c>
      <c r="G9">
        <v>3</v>
      </c>
      <c r="H9" t="s">
        <v>35</v>
      </c>
    </row>
    <row r="10" spans="1:8" x14ac:dyDescent="0.25">
      <c r="A10" t="s">
        <v>20</v>
      </c>
      <c r="B10" s="1">
        <v>46273</v>
      </c>
      <c r="C10" t="s">
        <v>9</v>
      </c>
      <c r="D10" t="s">
        <v>10</v>
      </c>
      <c r="E10" t="s">
        <v>30</v>
      </c>
      <c r="F10" t="s">
        <v>12</v>
      </c>
      <c r="H10" t="s">
        <v>13</v>
      </c>
    </row>
    <row r="11" spans="1:8" x14ac:dyDescent="0.25">
      <c r="A11" t="s">
        <v>21</v>
      </c>
      <c r="B11" s="1">
        <v>46274</v>
      </c>
      <c r="C11" t="s">
        <v>9</v>
      </c>
      <c r="D11" t="s">
        <v>28</v>
      </c>
      <c r="E11" t="s">
        <v>11</v>
      </c>
      <c r="F11" t="s">
        <v>33</v>
      </c>
      <c r="G11">
        <v>2</v>
      </c>
      <c r="H11" t="s">
        <v>36</v>
      </c>
    </row>
    <row r="12" spans="1:8" x14ac:dyDescent="0.25">
      <c r="A12" t="s">
        <v>22</v>
      </c>
      <c r="B12" s="1">
        <v>46275</v>
      </c>
      <c r="C12" t="s">
        <v>24</v>
      </c>
      <c r="D12" t="s">
        <v>10</v>
      </c>
      <c r="E12" t="s">
        <v>11</v>
      </c>
      <c r="F12" t="s">
        <v>12</v>
      </c>
      <c r="G12">
        <v>4.5</v>
      </c>
      <c r="H12" t="s">
        <v>13</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2C0F8-713B-429A-8848-8D17DAE59F74}">
  <dimension ref="A1:U42"/>
  <sheetViews>
    <sheetView tabSelected="1" workbookViewId="0">
      <selection activeCell="G20" sqref="G20"/>
    </sheetView>
  </sheetViews>
  <sheetFormatPr defaultRowHeight="15" x14ac:dyDescent="0.25"/>
  <cols>
    <col min="1" max="1" width="20.85546875" style="5" customWidth="1"/>
    <col min="2" max="2" width="9.140625" style="5"/>
    <col min="3" max="3" width="23.42578125" style="5" customWidth="1"/>
    <col min="4" max="4" width="9.140625" style="5"/>
    <col min="5" max="5" width="17.140625" style="5" customWidth="1"/>
    <col min="6" max="6" width="10" style="5" customWidth="1"/>
    <col min="7" max="7" width="23.5703125" style="5" customWidth="1"/>
    <col min="8" max="8" width="14.42578125" style="5" customWidth="1"/>
    <col min="9" max="16384" width="9.140625" style="5"/>
  </cols>
  <sheetData>
    <row r="1" spans="1:21" ht="51" customHeight="1" thickBot="1" x14ac:dyDescent="0.45">
      <c r="A1" s="2"/>
      <c r="B1" s="2"/>
      <c r="C1" s="2"/>
      <c r="D1" s="2"/>
      <c r="E1" s="2"/>
      <c r="F1" s="2"/>
      <c r="G1" s="2"/>
      <c r="H1" s="2"/>
      <c r="I1" s="4"/>
      <c r="J1" s="4"/>
      <c r="K1" s="4"/>
      <c r="L1" s="4"/>
      <c r="M1" s="4"/>
      <c r="N1" s="4"/>
      <c r="O1" s="4"/>
      <c r="P1" s="4"/>
      <c r="Q1" s="4"/>
      <c r="R1" s="4"/>
      <c r="S1" s="4"/>
      <c r="T1" s="4"/>
      <c r="U1" s="4"/>
    </row>
    <row r="2" spans="1:21" ht="15.75" thickBot="1" x14ac:dyDescent="0.3">
      <c r="A2" s="8" t="s">
        <v>48</v>
      </c>
      <c r="B2" s="9"/>
      <c r="C2" s="9"/>
      <c r="D2" s="9"/>
      <c r="E2" s="9"/>
      <c r="F2" s="9"/>
      <c r="G2" s="9"/>
      <c r="H2" s="10"/>
      <c r="I2" s="9"/>
      <c r="J2" s="9"/>
      <c r="K2" s="9"/>
      <c r="L2" s="9"/>
      <c r="M2" s="9"/>
      <c r="N2" s="9"/>
      <c r="O2" s="9"/>
      <c r="P2" s="9"/>
      <c r="Q2" s="20"/>
      <c r="R2" s="9"/>
      <c r="S2" s="10"/>
      <c r="T2" s="9"/>
      <c r="U2" s="10"/>
    </row>
    <row r="3" spans="1:21" x14ac:dyDescent="0.25">
      <c r="A3" s="26"/>
      <c r="B3" s="12"/>
      <c r="C3" s="12"/>
      <c r="D3" s="12"/>
      <c r="E3" s="12"/>
      <c r="F3" s="12"/>
      <c r="G3" s="12"/>
      <c r="H3" s="13"/>
      <c r="I3" s="3"/>
      <c r="J3" s="3"/>
      <c r="K3" s="3"/>
      <c r="L3" s="3"/>
      <c r="M3" s="3"/>
      <c r="N3" s="3"/>
      <c r="O3" s="3"/>
      <c r="P3" s="3"/>
      <c r="Q3" s="17"/>
      <c r="R3" s="18"/>
      <c r="S3" s="18"/>
      <c r="T3" s="3"/>
      <c r="U3" s="11"/>
    </row>
    <row r="4" spans="1:21" ht="15.75" thickBot="1" x14ac:dyDescent="0.3">
      <c r="A4" s="27" t="s">
        <v>39</v>
      </c>
      <c r="B4" s="12"/>
      <c r="C4" s="14"/>
      <c r="D4" s="12"/>
      <c r="E4" s="14" t="s">
        <v>40</v>
      </c>
      <c r="F4" s="12"/>
      <c r="G4" s="14" t="s">
        <v>41</v>
      </c>
      <c r="H4" s="13"/>
      <c r="I4" s="3"/>
      <c r="J4" s="3"/>
      <c r="K4" s="3"/>
      <c r="L4" s="3"/>
      <c r="M4" s="3"/>
      <c r="N4" s="3"/>
      <c r="O4" s="3"/>
      <c r="P4" s="3"/>
      <c r="Q4" s="17"/>
      <c r="R4" s="18"/>
      <c r="S4" s="18"/>
      <c r="T4" s="3"/>
      <c r="U4" s="11"/>
    </row>
    <row r="5" spans="1:21" ht="29.25" thickBot="1" x14ac:dyDescent="0.5">
      <c r="A5" s="25">
        <f>COUNTIFS('Raw Data'!$C$2:$C$12,IF($H$12="All","*",$H$12),'Raw Data'!$D$2:$D$12,IF($H$13="All","*",$H$13),'Raw Data'!$F$2:$F$12,IF($H$14="All","*",$H$14))</f>
        <v>10</v>
      </c>
      <c r="B5" s="12"/>
      <c r="C5" s="6">
        <f>COUNTIF('Raw Data'!E2:E12,"Open")</f>
        <v>1</v>
      </c>
      <c r="D5" s="12"/>
      <c r="E5" s="7">
        <f>COUNTIF('Raw Data'!D2:D12,"High")+COUNTIF('Raw Data'!D2:D12,"Critical")</f>
        <v>7</v>
      </c>
      <c r="F5" s="12"/>
      <c r="G5" s="7">
        <f>IFERROR(AVERAGE('Raw Data'!G2:G11),0)</f>
        <v>3.6428571428571428</v>
      </c>
      <c r="H5" s="13"/>
      <c r="I5" s="3"/>
      <c r="J5" s="3"/>
      <c r="K5" s="3"/>
      <c r="L5" s="3"/>
      <c r="M5" s="3"/>
      <c r="N5" s="3"/>
      <c r="O5" s="3"/>
      <c r="P5" s="3"/>
      <c r="Q5" s="17"/>
      <c r="R5" s="18"/>
      <c r="S5" s="18"/>
      <c r="T5" s="3"/>
      <c r="U5" s="11"/>
    </row>
    <row r="6" spans="1:21" x14ac:dyDescent="0.25">
      <c r="A6" s="28"/>
      <c r="B6" s="12"/>
      <c r="C6" s="12"/>
      <c r="D6" s="12"/>
      <c r="E6" s="12"/>
      <c r="F6" s="12"/>
      <c r="G6" s="12"/>
      <c r="H6" s="13"/>
      <c r="I6" s="3"/>
      <c r="J6" s="3"/>
      <c r="K6" s="3"/>
      <c r="L6" s="3"/>
      <c r="M6" s="3"/>
      <c r="N6" s="3"/>
      <c r="O6" s="3"/>
      <c r="P6" s="3"/>
      <c r="Q6" s="17"/>
      <c r="R6" s="18"/>
      <c r="S6" s="18"/>
      <c r="T6" s="3"/>
      <c r="U6" s="11"/>
    </row>
    <row r="7" spans="1:21" ht="15.75" thickBot="1" x14ac:dyDescent="0.3">
      <c r="A7" s="29"/>
      <c r="B7" s="24"/>
      <c r="C7" s="15"/>
      <c r="D7" s="15"/>
      <c r="E7" s="15"/>
      <c r="F7" s="15"/>
      <c r="G7" s="15"/>
      <c r="H7" s="16"/>
      <c r="I7" s="3"/>
      <c r="J7" s="3"/>
      <c r="K7" s="3"/>
      <c r="L7" s="3"/>
      <c r="M7" s="3"/>
      <c r="N7" s="3"/>
      <c r="O7" s="3"/>
      <c r="P7" s="3"/>
      <c r="Q7" s="18"/>
      <c r="R7" s="18"/>
      <c r="S7" s="18"/>
      <c r="T7" s="3"/>
      <c r="U7" s="11"/>
    </row>
    <row r="8" spans="1:21" x14ac:dyDescent="0.25">
      <c r="A8" s="11"/>
      <c r="B8" s="11"/>
      <c r="C8" s="11"/>
      <c r="D8" s="11"/>
      <c r="E8" s="11"/>
      <c r="F8" s="11"/>
      <c r="G8" s="11"/>
      <c r="H8" s="11"/>
      <c r="I8" s="3"/>
      <c r="J8" s="3"/>
      <c r="K8" s="3"/>
      <c r="L8" s="3"/>
      <c r="M8" s="3"/>
      <c r="N8" s="3"/>
      <c r="O8" s="3"/>
      <c r="P8" s="3"/>
      <c r="Q8" s="18"/>
      <c r="R8" s="18"/>
      <c r="S8" s="3"/>
      <c r="T8" s="3"/>
      <c r="U8" s="11"/>
    </row>
    <row r="9" spans="1:21" ht="15.75" thickBot="1" x14ac:dyDescent="0.3">
      <c r="A9" s="11"/>
      <c r="B9" s="11"/>
      <c r="C9" s="11"/>
      <c r="D9" s="11"/>
      <c r="E9" s="11"/>
      <c r="F9" s="11"/>
      <c r="G9" s="11"/>
      <c r="H9" s="11"/>
      <c r="I9" s="3"/>
      <c r="J9" s="3"/>
      <c r="K9" s="3"/>
      <c r="L9" s="3"/>
      <c r="M9" s="3"/>
      <c r="N9" s="3"/>
      <c r="O9" s="3"/>
      <c r="P9" s="3"/>
      <c r="Q9" s="18"/>
      <c r="R9" s="19"/>
      <c r="S9" s="3"/>
      <c r="T9" s="3"/>
      <c r="U9" s="11"/>
    </row>
    <row r="10" spans="1:21" ht="15.75" thickBot="1" x14ac:dyDescent="0.3">
      <c r="A10" s="11"/>
      <c r="B10" s="11"/>
      <c r="C10" s="11"/>
      <c r="D10" s="11"/>
      <c r="E10" s="11"/>
      <c r="F10" s="11"/>
      <c r="G10" s="11"/>
      <c r="H10" s="11"/>
      <c r="I10" s="11"/>
      <c r="J10" s="11"/>
      <c r="K10" s="11"/>
      <c r="L10" s="11"/>
      <c r="M10" s="11"/>
      <c r="N10" s="11"/>
      <c r="O10" s="11"/>
      <c r="P10" s="11"/>
      <c r="Q10" s="11"/>
      <c r="R10" s="11"/>
      <c r="S10" s="11"/>
      <c r="T10" s="11"/>
      <c r="U10" s="11"/>
    </row>
    <row r="11" spans="1:21" ht="15.75" thickBot="1" x14ac:dyDescent="0.3">
      <c r="A11" s="11"/>
      <c r="B11" s="11"/>
      <c r="C11" s="11"/>
      <c r="D11" s="11"/>
      <c r="E11" s="11"/>
      <c r="F11" s="11"/>
      <c r="G11" s="31" t="s">
        <v>49</v>
      </c>
      <c r="H11" s="32"/>
      <c r="I11" s="11"/>
      <c r="J11" s="11"/>
      <c r="K11" s="11"/>
      <c r="L11" s="11"/>
      <c r="M11" s="11"/>
      <c r="N11" s="11"/>
      <c r="O11" s="11"/>
      <c r="P11" s="11"/>
      <c r="Q11" s="11"/>
      <c r="R11" s="11"/>
      <c r="S11" s="11"/>
      <c r="T11" s="11"/>
      <c r="U11" s="11"/>
    </row>
    <row r="12" spans="1:21" ht="15.75" thickBot="1" x14ac:dyDescent="0.3">
      <c r="A12" s="11"/>
      <c r="B12" s="11"/>
      <c r="C12" s="11"/>
      <c r="D12" s="11"/>
      <c r="E12" s="11"/>
      <c r="F12" s="11"/>
      <c r="G12" s="21" t="s">
        <v>42</v>
      </c>
      <c r="H12" s="30" t="s">
        <v>47</v>
      </c>
      <c r="I12" s="11"/>
      <c r="J12" s="11"/>
      <c r="K12" s="11"/>
      <c r="L12" s="11"/>
      <c r="M12" s="11"/>
      <c r="N12" s="11"/>
      <c r="O12" s="11"/>
      <c r="P12" s="11"/>
      <c r="Q12" s="11"/>
      <c r="R12" s="11"/>
      <c r="S12" s="11"/>
      <c r="T12" s="11"/>
      <c r="U12" s="11"/>
    </row>
    <row r="13" spans="1:21" ht="15.75" thickBot="1" x14ac:dyDescent="0.3">
      <c r="A13" s="11"/>
      <c r="B13" s="11"/>
      <c r="C13" s="11"/>
      <c r="D13" s="11"/>
      <c r="E13" s="11"/>
      <c r="F13" s="11"/>
      <c r="G13" s="22" t="s">
        <v>3</v>
      </c>
      <c r="H13" s="23" t="s">
        <v>47</v>
      </c>
      <c r="I13" s="11"/>
      <c r="J13" s="11"/>
      <c r="K13" s="11"/>
      <c r="L13" s="11"/>
      <c r="M13" s="11"/>
      <c r="N13" s="11"/>
      <c r="O13" s="11"/>
      <c r="P13" s="11"/>
      <c r="Q13" s="11"/>
      <c r="R13" s="11"/>
      <c r="S13" s="11"/>
      <c r="T13" s="11"/>
      <c r="U13" s="11"/>
    </row>
    <row r="14" spans="1:21" ht="15.75" thickBot="1" x14ac:dyDescent="0.3">
      <c r="A14" s="11"/>
      <c r="B14" s="11"/>
      <c r="C14" s="11"/>
      <c r="D14" s="11"/>
      <c r="E14" s="11"/>
      <c r="F14" s="11"/>
      <c r="G14" s="22" t="s">
        <v>5</v>
      </c>
      <c r="H14" s="23" t="s">
        <v>47</v>
      </c>
      <c r="I14" s="11"/>
      <c r="J14" s="11"/>
      <c r="K14" s="11"/>
      <c r="L14" s="11"/>
      <c r="M14" s="11"/>
      <c r="N14" s="11"/>
      <c r="O14" s="11"/>
      <c r="P14" s="11"/>
      <c r="Q14" s="11"/>
      <c r="R14" s="11"/>
      <c r="S14" s="11"/>
      <c r="T14" s="11"/>
      <c r="U14" s="11"/>
    </row>
    <row r="15" spans="1:21" x14ac:dyDescent="0.25">
      <c r="A15" s="11"/>
      <c r="B15" s="11"/>
      <c r="C15" s="11"/>
      <c r="D15" s="11"/>
      <c r="E15" s="11"/>
      <c r="F15" s="11"/>
      <c r="G15" s="11"/>
      <c r="H15" s="11"/>
      <c r="I15" s="11"/>
      <c r="J15" s="11"/>
      <c r="K15" s="11"/>
      <c r="L15" s="11"/>
      <c r="M15" s="11"/>
      <c r="N15" s="11"/>
      <c r="O15" s="11"/>
      <c r="P15" s="11"/>
      <c r="Q15" s="11"/>
      <c r="R15" s="11"/>
      <c r="S15" s="11"/>
      <c r="T15" s="11"/>
      <c r="U15" s="11"/>
    </row>
    <row r="16" spans="1:21" x14ac:dyDescent="0.25">
      <c r="A16" s="11"/>
      <c r="B16" s="11"/>
      <c r="C16" s="11"/>
      <c r="D16" s="11"/>
      <c r="E16" s="11"/>
      <c r="F16" s="11"/>
      <c r="G16" s="11"/>
      <c r="H16" s="11"/>
      <c r="I16" s="11"/>
      <c r="J16" s="11"/>
      <c r="K16" s="11"/>
      <c r="L16" s="11"/>
      <c r="M16" s="11"/>
      <c r="N16" s="11"/>
      <c r="O16" s="11"/>
      <c r="P16" s="11"/>
      <c r="Q16" s="11"/>
      <c r="R16" s="11"/>
      <c r="S16" s="11"/>
      <c r="T16" s="11"/>
      <c r="U16" s="11"/>
    </row>
    <row r="17" spans="1:21" x14ac:dyDescent="0.25">
      <c r="A17" s="11"/>
      <c r="B17" s="11"/>
      <c r="C17" s="11"/>
      <c r="D17" s="11"/>
      <c r="E17" s="11"/>
      <c r="F17" s="11"/>
      <c r="G17" s="11"/>
      <c r="H17" s="11"/>
      <c r="I17" s="11"/>
      <c r="J17" s="11"/>
      <c r="K17" s="11"/>
      <c r="L17" s="11"/>
      <c r="M17" s="11"/>
      <c r="N17" s="11"/>
      <c r="O17" s="11"/>
      <c r="P17" s="11"/>
      <c r="Q17" s="11"/>
      <c r="R17" s="11"/>
      <c r="S17" s="11"/>
      <c r="T17" s="11"/>
      <c r="U17" s="11"/>
    </row>
    <row r="18" spans="1:21" x14ac:dyDescent="0.25">
      <c r="A18" s="11"/>
      <c r="B18" s="11"/>
      <c r="C18" s="11"/>
      <c r="D18" s="11"/>
      <c r="E18" s="11"/>
      <c r="F18" s="11"/>
      <c r="G18" s="11"/>
      <c r="H18" s="11"/>
      <c r="I18" s="11"/>
      <c r="J18" s="11"/>
      <c r="K18" s="11"/>
      <c r="L18" s="11"/>
      <c r="M18" s="11"/>
      <c r="N18" s="11"/>
      <c r="O18" s="11"/>
      <c r="P18" s="11"/>
      <c r="Q18" s="11"/>
      <c r="R18" s="11"/>
      <c r="S18" s="11"/>
      <c r="T18" s="11"/>
      <c r="U18" s="11"/>
    </row>
    <row r="19" spans="1:21" x14ac:dyDescent="0.25">
      <c r="A19" s="11"/>
      <c r="B19" s="11"/>
      <c r="C19" s="11"/>
      <c r="D19" s="11"/>
      <c r="E19" s="11"/>
      <c r="F19" s="11"/>
      <c r="G19" s="11"/>
      <c r="H19" s="11"/>
      <c r="I19" s="11"/>
      <c r="J19" s="11"/>
      <c r="K19" s="11"/>
      <c r="L19" s="11"/>
      <c r="M19" s="11"/>
      <c r="N19" s="11"/>
      <c r="O19" s="11"/>
      <c r="P19" s="11"/>
      <c r="Q19" s="11"/>
      <c r="R19" s="11"/>
      <c r="S19" s="11"/>
      <c r="T19" s="11"/>
      <c r="U19" s="11"/>
    </row>
    <row r="20" spans="1:21" x14ac:dyDescent="0.25">
      <c r="A20" s="11"/>
      <c r="B20" s="11"/>
      <c r="C20" s="11"/>
      <c r="D20" s="11"/>
      <c r="E20" s="11"/>
      <c r="F20" s="11"/>
      <c r="G20" s="11"/>
      <c r="H20" s="11"/>
      <c r="I20" s="11"/>
      <c r="J20" s="11"/>
      <c r="K20" s="11"/>
      <c r="L20" s="11"/>
      <c r="M20" s="11"/>
      <c r="N20" s="11"/>
      <c r="O20" s="11"/>
      <c r="P20" s="11"/>
      <c r="Q20" s="11"/>
      <c r="R20" s="11"/>
      <c r="S20" s="11"/>
      <c r="T20" s="11"/>
      <c r="U20" s="11"/>
    </row>
    <row r="21" spans="1:21" x14ac:dyDescent="0.25">
      <c r="A21" s="11"/>
      <c r="B21" s="11"/>
      <c r="C21" s="11"/>
      <c r="D21" s="11"/>
      <c r="E21" s="11"/>
      <c r="F21" s="11"/>
      <c r="G21" s="11"/>
      <c r="H21" s="11"/>
      <c r="I21" s="11"/>
      <c r="J21" s="11"/>
      <c r="K21" s="11"/>
      <c r="L21" s="11"/>
      <c r="M21" s="11"/>
      <c r="N21" s="11"/>
      <c r="O21" s="11"/>
      <c r="P21" s="11"/>
      <c r="Q21" s="11"/>
      <c r="R21" s="11"/>
      <c r="S21" s="11"/>
      <c r="T21" s="11"/>
      <c r="U21" s="11"/>
    </row>
    <row r="22" spans="1:21" x14ac:dyDescent="0.25">
      <c r="A22" s="11"/>
      <c r="B22" s="11"/>
      <c r="C22" s="11"/>
      <c r="D22" s="11"/>
      <c r="E22" s="11"/>
      <c r="F22" s="11"/>
      <c r="G22" s="11"/>
      <c r="H22" s="11"/>
      <c r="I22" s="11"/>
      <c r="J22" s="11"/>
      <c r="K22" s="11"/>
      <c r="L22" s="11"/>
      <c r="M22" s="11"/>
      <c r="N22" s="11"/>
      <c r="O22" s="11"/>
      <c r="P22" s="11"/>
      <c r="Q22" s="11"/>
      <c r="R22" s="11"/>
      <c r="S22" s="11"/>
      <c r="T22" s="11"/>
      <c r="U22" s="11"/>
    </row>
    <row r="23" spans="1:21" x14ac:dyDescent="0.25">
      <c r="A23" s="11"/>
      <c r="B23" s="11"/>
      <c r="C23" s="11"/>
      <c r="D23" s="11"/>
      <c r="E23" s="11"/>
      <c r="F23" s="11"/>
      <c r="G23" s="11"/>
      <c r="H23" s="11"/>
      <c r="I23" s="11"/>
      <c r="J23" s="11"/>
      <c r="K23" s="11"/>
      <c r="L23" s="11"/>
      <c r="M23" s="11"/>
      <c r="N23" s="11"/>
      <c r="O23" s="11"/>
      <c r="P23" s="11"/>
      <c r="Q23" s="11"/>
      <c r="R23" s="11"/>
      <c r="S23" s="11"/>
      <c r="T23" s="11"/>
      <c r="U23" s="11"/>
    </row>
    <row r="24" spans="1:21" x14ac:dyDescent="0.25">
      <c r="A24" s="11"/>
      <c r="B24" s="11"/>
      <c r="C24" s="11"/>
      <c r="D24" s="11"/>
      <c r="E24" s="11"/>
      <c r="F24" s="11"/>
      <c r="G24" s="11"/>
      <c r="H24" s="11"/>
      <c r="I24" s="11"/>
      <c r="J24" s="11"/>
      <c r="K24" s="11"/>
      <c r="L24" s="11"/>
      <c r="M24" s="11"/>
      <c r="N24" s="11"/>
      <c r="O24" s="11"/>
      <c r="P24" s="11"/>
      <c r="Q24" s="11"/>
      <c r="R24" s="11"/>
      <c r="S24" s="11"/>
      <c r="T24" s="11"/>
      <c r="U24" s="11"/>
    </row>
    <row r="25" spans="1:21" x14ac:dyDescent="0.25">
      <c r="A25" s="11"/>
      <c r="B25" s="11"/>
      <c r="C25" s="11"/>
      <c r="D25" s="11"/>
      <c r="E25" s="11"/>
      <c r="F25" s="11"/>
      <c r="G25" s="11"/>
      <c r="H25" s="11"/>
      <c r="I25" s="11"/>
      <c r="J25" s="11"/>
      <c r="K25" s="11"/>
      <c r="L25" s="11"/>
      <c r="M25" s="11"/>
      <c r="N25" s="11"/>
      <c r="O25" s="11"/>
      <c r="P25" s="11"/>
      <c r="Q25" s="11"/>
      <c r="R25" s="11"/>
      <c r="S25" s="11"/>
      <c r="T25" s="11"/>
      <c r="U25" s="11"/>
    </row>
    <row r="26" spans="1:21" x14ac:dyDescent="0.25">
      <c r="A26" s="11"/>
      <c r="B26" s="11"/>
      <c r="C26" s="11"/>
      <c r="D26" s="11"/>
      <c r="E26" s="11"/>
      <c r="F26" s="11"/>
      <c r="G26" s="11"/>
      <c r="H26" s="11"/>
      <c r="I26" s="11"/>
      <c r="J26" s="11"/>
      <c r="K26" s="11"/>
      <c r="L26" s="11"/>
      <c r="M26" s="11"/>
      <c r="N26" s="11"/>
      <c r="O26" s="11"/>
      <c r="P26" s="11"/>
      <c r="Q26" s="11"/>
      <c r="R26" s="11"/>
      <c r="S26" s="11"/>
      <c r="T26" s="11"/>
      <c r="U26" s="11"/>
    </row>
    <row r="27" spans="1:21" x14ac:dyDescent="0.25">
      <c r="A27" s="11"/>
      <c r="B27" s="11"/>
      <c r="C27" s="11"/>
      <c r="D27" s="11"/>
      <c r="E27" s="11"/>
      <c r="F27" s="11"/>
      <c r="G27" s="11"/>
      <c r="H27" s="11"/>
      <c r="I27" s="11"/>
      <c r="J27" s="11"/>
      <c r="K27" s="11"/>
      <c r="L27" s="11"/>
      <c r="M27" s="11"/>
      <c r="N27" s="11"/>
      <c r="O27" s="11"/>
      <c r="P27" s="11"/>
      <c r="Q27" s="11"/>
      <c r="R27" s="11"/>
      <c r="S27" s="11"/>
      <c r="T27" s="11"/>
      <c r="U27" s="11"/>
    </row>
    <row r="28" spans="1:21" x14ac:dyDescent="0.25">
      <c r="A28" s="11"/>
      <c r="B28" s="11"/>
      <c r="C28" s="11"/>
      <c r="D28" s="11"/>
      <c r="E28" s="11"/>
      <c r="F28" s="11"/>
      <c r="G28" s="11"/>
      <c r="H28" s="11"/>
      <c r="I28" s="11"/>
      <c r="J28" s="11"/>
      <c r="K28" s="11"/>
      <c r="L28" s="11"/>
      <c r="M28" s="11"/>
      <c r="N28" s="11"/>
      <c r="O28" s="11"/>
      <c r="P28" s="11"/>
      <c r="Q28" s="11"/>
      <c r="R28" s="11"/>
      <c r="S28" s="11"/>
      <c r="T28" s="11"/>
      <c r="U28" s="11"/>
    </row>
    <row r="29" spans="1:21" x14ac:dyDescent="0.25">
      <c r="A29" s="11"/>
      <c r="B29" s="11"/>
      <c r="C29" s="11"/>
      <c r="D29" s="11"/>
      <c r="E29" s="11"/>
      <c r="F29" s="11"/>
      <c r="G29" s="11"/>
      <c r="H29" s="11"/>
      <c r="I29" s="11"/>
      <c r="J29" s="11"/>
      <c r="K29" s="11"/>
      <c r="L29" s="11"/>
      <c r="M29" s="11"/>
      <c r="N29" s="11"/>
      <c r="O29" s="11"/>
      <c r="P29" s="11"/>
      <c r="Q29" s="11"/>
      <c r="R29" s="11"/>
      <c r="S29" s="11"/>
      <c r="T29" s="11"/>
      <c r="U29" s="11"/>
    </row>
    <row r="30" spans="1:21" x14ac:dyDescent="0.25">
      <c r="A30" s="11"/>
      <c r="B30" s="11"/>
      <c r="C30" s="11"/>
      <c r="D30" s="11"/>
      <c r="E30" s="11"/>
      <c r="F30" s="11"/>
      <c r="G30" s="11"/>
      <c r="H30" s="11"/>
      <c r="I30" s="11"/>
      <c r="J30" s="11"/>
      <c r="K30" s="11"/>
      <c r="L30" s="11"/>
      <c r="M30" s="11"/>
      <c r="N30" s="11"/>
      <c r="O30" s="11"/>
      <c r="P30" s="11"/>
      <c r="Q30" s="11"/>
      <c r="R30" s="11"/>
      <c r="S30" s="11"/>
      <c r="T30" s="11"/>
      <c r="U30" s="11"/>
    </row>
    <row r="31" spans="1:21" x14ac:dyDescent="0.25">
      <c r="A31" s="11"/>
      <c r="B31" s="11"/>
      <c r="C31" s="11"/>
      <c r="D31" s="11"/>
      <c r="E31" s="11"/>
      <c r="F31" s="11"/>
      <c r="G31" s="11"/>
      <c r="H31" s="11"/>
      <c r="I31" s="11"/>
      <c r="J31" s="11"/>
      <c r="K31" s="11"/>
      <c r="L31" s="11"/>
      <c r="M31" s="11"/>
      <c r="N31" s="11"/>
      <c r="O31" s="11"/>
      <c r="P31" s="11"/>
      <c r="Q31" s="11"/>
      <c r="R31" s="11"/>
      <c r="S31" s="11"/>
      <c r="T31" s="11"/>
      <c r="U31" s="11"/>
    </row>
    <row r="32" spans="1:21" x14ac:dyDescent="0.25">
      <c r="A32" s="11"/>
      <c r="B32" s="11"/>
      <c r="C32" s="11"/>
      <c r="D32" s="11"/>
      <c r="E32" s="11"/>
      <c r="F32" s="11"/>
      <c r="G32" s="11"/>
      <c r="H32" s="11"/>
      <c r="I32" s="11"/>
      <c r="J32" s="11"/>
      <c r="K32" s="11"/>
      <c r="L32" s="11"/>
      <c r="M32" s="11"/>
      <c r="N32" s="11"/>
      <c r="O32" s="11"/>
      <c r="P32" s="11"/>
      <c r="Q32" s="11"/>
      <c r="R32" s="11"/>
      <c r="S32" s="11"/>
      <c r="T32" s="11"/>
      <c r="U32" s="11"/>
    </row>
    <row r="33" spans="1:21" x14ac:dyDescent="0.25">
      <c r="A33" s="11"/>
      <c r="B33" s="11"/>
      <c r="C33" s="11"/>
      <c r="D33" s="11"/>
      <c r="E33" s="11"/>
      <c r="F33" s="11"/>
      <c r="G33" s="11"/>
      <c r="H33" s="11"/>
      <c r="I33" s="11"/>
      <c r="J33" s="11"/>
      <c r="K33" s="11"/>
      <c r="L33" s="11"/>
      <c r="M33" s="11"/>
      <c r="N33" s="11"/>
      <c r="O33" s="11"/>
      <c r="P33" s="11"/>
      <c r="Q33" s="11"/>
      <c r="R33" s="11"/>
      <c r="S33" s="11"/>
      <c r="T33" s="11"/>
      <c r="U33" s="11"/>
    </row>
    <row r="34" spans="1:21" x14ac:dyDescent="0.25">
      <c r="A34" s="11"/>
      <c r="B34" s="11"/>
      <c r="C34" s="11"/>
      <c r="D34" s="11"/>
      <c r="E34" s="11"/>
      <c r="F34" s="11"/>
      <c r="G34" s="11"/>
      <c r="H34" s="11"/>
      <c r="I34" s="11"/>
      <c r="J34" s="11"/>
      <c r="K34" s="11"/>
      <c r="L34" s="11"/>
      <c r="M34" s="11"/>
      <c r="N34" s="11"/>
      <c r="O34" s="11"/>
      <c r="P34" s="11"/>
      <c r="Q34" s="11"/>
      <c r="R34" s="11"/>
      <c r="S34" s="11"/>
      <c r="T34" s="11"/>
      <c r="U34" s="11"/>
    </row>
    <row r="35" spans="1:21" x14ac:dyDescent="0.25">
      <c r="A35" s="11"/>
      <c r="B35" s="11"/>
      <c r="C35" s="11"/>
      <c r="D35" s="11"/>
      <c r="E35" s="11"/>
      <c r="F35" s="11"/>
      <c r="G35" s="11"/>
      <c r="H35" s="11"/>
      <c r="I35" s="11"/>
      <c r="J35" s="11"/>
      <c r="K35" s="11"/>
      <c r="L35" s="11"/>
      <c r="M35" s="11"/>
      <c r="N35" s="11"/>
      <c r="O35" s="11"/>
      <c r="P35" s="11"/>
      <c r="Q35" s="11"/>
      <c r="R35" s="11"/>
      <c r="S35" s="11"/>
      <c r="T35" s="11"/>
      <c r="U35" s="11"/>
    </row>
    <row r="36" spans="1:21" x14ac:dyDescent="0.25">
      <c r="A36" s="11"/>
      <c r="B36" s="11"/>
      <c r="C36" s="11"/>
      <c r="D36" s="11"/>
      <c r="E36" s="11"/>
      <c r="F36" s="11"/>
      <c r="G36" s="11"/>
      <c r="H36" s="11"/>
      <c r="I36" s="11"/>
      <c r="J36" s="11"/>
      <c r="K36" s="11"/>
      <c r="L36" s="11"/>
      <c r="M36" s="11"/>
      <c r="N36" s="11"/>
      <c r="O36" s="11"/>
      <c r="P36" s="11"/>
      <c r="Q36" s="11"/>
      <c r="R36" s="11"/>
      <c r="S36" s="11"/>
      <c r="T36" s="11"/>
      <c r="U36" s="11"/>
    </row>
    <row r="37" spans="1:21" x14ac:dyDescent="0.25">
      <c r="A37" s="11"/>
      <c r="B37" s="11"/>
      <c r="C37" s="11"/>
      <c r="D37" s="11"/>
      <c r="E37" s="11"/>
      <c r="F37" s="11"/>
      <c r="G37" s="11"/>
      <c r="H37" s="11"/>
      <c r="I37" s="11"/>
      <c r="J37" s="11"/>
      <c r="K37" s="11"/>
      <c r="L37" s="11"/>
      <c r="M37" s="11"/>
      <c r="N37" s="11"/>
      <c r="O37" s="11"/>
      <c r="P37" s="11"/>
      <c r="Q37" s="11"/>
      <c r="R37" s="11"/>
      <c r="S37" s="11"/>
      <c r="T37" s="11"/>
      <c r="U37" s="11"/>
    </row>
    <row r="38" spans="1:21" x14ac:dyDescent="0.25">
      <c r="A38" s="11"/>
      <c r="B38" s="11"/>
      <c r="C38" s="11"/>
      <c r="D38" s="11"/>
      <c r="E38" s="11"/>
      <c r="F38" s="11"/>
      <c r="G38" s="11"/>
      <c r="H38" s="11"/>
      <c r="I38" s="11"/>
      <c r="J38" s="11"/>
      <c r="K38" s="11"/>
      <c r="L38" s="11"/>
      <c r="M38" s="11"/>
      <c r="N38" s="11"/>
      <c r="O38" s="11"/>
      <c r="P38" s="11"/>
      <c r="Q38" s="11"/>
      <c r="R38" s="11"/>
      <c r="S38" s="11"/>
      <c r="T38" s="11"/>
      <c r="U38" s="11"/>
    </row>
    <row r="39" spans="1:21" x14ac:dyDescent="0.25">
      <c r="A39" s="11"/>
      <c r="B39" s="11"/>
      <c r="C39" s="11"/>
      <c r="D39" s="11"/>
      <c r="E39" s="11"/>
      <c r="F39" s="11"/>
      <c r="G39" s="11"/>
      <c r="H39" s="11"/>
      <c r="I39" s="11"/>
      <c r="J39" s="11"/>
      <c r="K39" s="11"/>
      <c r="L39" s="11"/>
      <c r="M39" s="11"/>
      <c r="N39" s="11"/>
      <c r="O39" s="11"/>
      <c r="P39" s="11"/>
      <c r="Q39" s="11"/>
      <c r="R39" s="11"/>
      <c r="S39" s="11"/>
      <c r="T39" s="11"/>
      <c r="U39" s="11"/>
    </row>
    <row r="40" spans="1:21" x14ac:dyDescent="0.25">
      <c r="A40" s="11"/>
      <c r="B40" s="11"/>
      <c r="C40" s="11"/>
      <c r="D40" s="11"/>
      <c r="E40" s="11"/>
      <c r="F40" s="11"/>
      <c r="G40" s="11"/>
      <c r="H40" s="11"/>
      <c r="I40" s="11"/>
      <c r="J40" s="11"/>
      <c r="K40" s="11"/>
      <c r="L40" s="11"/>
      <c r="M40" s="11"/>
      <c r="N40" s="11"/>
      <c r="O40" s="11"/>
      <c r="P40" s="11"/>
      <c r="Q40" s="11"/>
      <c r="R40" s="11"/>
      <c r="S40" s="11"/>
      <c r="T40" s="11"/>
      <c r="U40" s="11"/>
    </row>
    <row r="41" spans="1:21" x14ac:dyDescent="0.25">
      <c r="A41" s="11"/>
      <c r="B41" s="11"/>
      <c r="C41" s="11"/>
      <c r="D41" s="11"/>
      <c r="E41" s="11"/>
      <c r="F41" s="11"/>
      <c r="G41" s="11"/>
      <c r="H41" s="11"/>
      <c r="I41" s="11"/>
      <c r="J41" s="11"/>
      <c r="K41" s="11"/>
      <c r="L41" s="11"/>
      <c r="M41" s="11"/>
      <c r="N41" s="11"/>
      <c r="O41" s="11"/>
      <c r="P41" s="11"/>
      <c r="Q41" s="11"/>
      <c r="R41" s="11"/>
      <c r="S41" s="11"/>
      <c r="T41" s="11"/>
      <c r="U41" s="11"/>
    </row>
    <row r="42" spans="1:21" x14ac:dyDescent="0.25">
      <c r="A42" s="11"/>
      <c r="B42" s="11"/>
      <c r="C42" s="11"/>
      <c r="D42" s="11"/>
      <c r="E42" s="11"/>
      <c r="F42" s="11"/>
      <c r="G42" s="11"/>
      <c r="H42" s="11"/>
      <c r="I42" s="11"/>
      <c r="J42" s="11"/>
      <c r="K42" s="11"/>
      <c r="L42" s="11"/>
      <c r="M42" s="11"/>
      <c r="N42" s="11"/>
      <c r="O42" s="11"/>
      <c r="P42" s="11"/>
      <c r="Q42" s="11"/>
      <c r="R42" s="11"/>
      <c r="S42" s="11"/>
      <c r="T42" s="11"/>
      <c r="U42" s="11"/>
    </row>
  </sheetData>
  <mergeCells count="1">
    <mergeCell ref="A1:H1"/>
  </mergeCells>
  <dataValidations count="3">
    <dataValidation type="list" allowBlank="1" showInputMessage="1" showErrorMessage="1" sqref="H12" xr:uid="{F7E1B2FA-6523-4221-B658-3C0EA0F32DB4}">
      <formula1>"All, Phishing,Malware,Unauthorized Access,Data Breach,Denial of Service"</formula1>
    </dataValidation>
    <dataValidation type="list" allowBlank="1" showInputMessage="1" showErrorMessage="1" sqref="H13" xr:uid="{A7DAA8C2-F6C6-43E9-AA77-0C2E6BE9058A}">
      <formula1>"All,Low,Medium,High,Critical"</formula1>
    </dataValidation>
    <dataValidation type="list" allowBlank="1" showInputMessage="1" showErrorMessage="1" sqref="H14" xr:uid="{3999BCC9-56F5-406B-A434-5DAA820291D2}">
      <formula1>"All,IT,HR,Finance,Operations,Sales,Marketing"</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47F5-D536-4522-B75F-93AB81C4255D}">
  <dimension ref="A1:H7"/>
  <sheetViews>
    <sheetView workbookViewId="0">
      <selection activeCell="B2" sqref="B2"/>
    </sheetView>
  </sheetViews>
  <sheetFormatPr defaultRowHeight="15" x14ac:dyDescent="0.25"/>
  <cols>
    <col min="1" max="1" width="39.42578125" customWidth="1"/>
    <col min="2" max="2" width="49.85546875" customWidth="1"/>
    <col min="5" max="5" width="16.28515625" customWidth="1"/>
    <col min="7" max="7" width="12" customWidth="1"/>
    <col min="8" max="8" width="14.28515625" customWidth="1"/>
  </cols>
  <sheetData>
    <row r="1" spans="1:8" x14ac:dyDescent="0.25">
      <c r="A1" t="s">
        <v>42</v>
      </c>
      <c r="B1" t="s">
        <v>43</v>
      </c>
      <c r="D1" t="s">
        <v>3</v>
      </c>
      <c r="E1" t="s">
        <v>43</v>
      </c>
      <c r="G1" t="s">
        <v>45</v>
      </c>
      <c r="H1" t="s">
        <v>43</v>
      </c>
    </row>
    <row r="2" spans="1:8" x14ac:dyDescent="0.25">
      <c r="A2" t="s">
        <v>9</v>
      </c>
      <c r="B2">
        <f>COUNTIF('Raw Data'!C$2:C$11,A2)</f>
        <v>4</v>
      </c>
      <c r="D2" t="s">
        <v>44</v>
      </c>
      <c r="E2">
        <f>COUNTIF('Raw Data'!D$2:D$12,D2)</f>
        <v>0</v>
      </c>
      <c r="G2" t="s">
        <v>31</v>
      </c>
      <c r="H2">
        <f>COUNTIF('Raw Data'!F$2:F$12,G2)</f>
        <v>3</v>
      </c>
    </row>
    <row r="3" spans="1:8" x14ac:dyDescent="0.25">
      <c r="A3" t="s">
        <v>23</v>
      </c>
      <c r="B3">
        <f>COUNTIF('Raw Data'!C$2:C$11,A3)</f>
        <v>2</v>
      </c>
      <c r="D3" t="s">
        <v>28</v>
      </c>
      <c r="E3">
        <f>COUNTIF('Raw Data'!D$2:D$12,D3)</f>
        <v>3</v>
      </c>
      <c r="G3" t="s">
        <v>12</v>
      </c>
      <c r="H3">
        <f>COUNTIF('Raw Data'!F$2:F$12,G3)</f>
        <v>3</v>
      </c>
    </row>
    <row r="4" spans="1:8" x14ac:dyDescent="0.25">
      <c r="A4" t="s">
        <v>24</v>
      </c>
      <c r="B4">
        <f>COUNTIF('Raw Data'!C$2:C$11,A4)</f>
        <v>1</v>
      </c>
      <c r="D4" t="s">
        <v>10</v>
      </c>
      <c r="E4">
        <f>COUNTIF('Raw Data'!D$2:D$12,D4)</f>
        <v>5</v>
      </c>
      <c r="G4" t="s">
        <v>32</v>
      </c>
      <c r="H4">
        <f>COUNTIF('Raw Data'!F$2:F$12,G4)</f>
        <v>1</v>
      </c>
    </row>
    <row r="5" spans="1:8" x14ac:dyDescent="0.25">
      <c r="A5" t="s">
        <v>25</v>
      </c>
      <c r="B5">
        <f>COUNTIF('Raw Data'!C$2:C$11,A5)</f>
        <v>1</v>
      </c>
      <c r="D5" t="s">
        <v>27</v>
      </c>
      <c r="E5">
        <f>COUNTIF('Raw Data'!D$2:D$12,D5)</f>
        <v>2</v>
      </c>
      <c r="G5" t="s">
        <v>33</v>
      </c>
      <c r="H5">
        <f>COUNTIF('Raw Data'!F$2:F$12,G5)</f>
        <v>2</v>
      </c>
    </row>
    <row r="6" spans="1:8" x14ac:dyDescent="0.25">
      <c r="A6" t="s">
        <v>26</v>
      </c>
      <c r="B6">
        <f>COUNTIF('Raw Data'!C$2:C$11,A6)</f>
        <v>1</v>
      </c>
      <c r="G6" t="s">
        <v>34</v>
      </c>
      <c r="H6">
        <f>COUNTIF('Raw Data'!F$2:F$12,G6)</f>
        <v>1</v>
      </c>
    </row>
    <row r="7" spans="1:8" x14ac:dyDescent="0.25">
      <c r="G7" t="s">
        <v>46</v>
      </c>
      <c r="H7">
        <f>COUNTIF('Raw Data'!F$2:F$12,G7)</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Dashboard</vt:lpstr>
      <vt:lpstr>Analysis</vt:lpstr>
    </vt:vector>
  </TitlesOfParts>
  <Company>Hilton Hotels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Massenburg</dc:creator>
  <cp:lastModifiedBy>Julia Massenburg</cp:lastModifiedBy>
  <dcterms:created xsi:type="dcterms:W3CDTF">2026-10-09T20:40:00Z</dcterms:created>
  <dcterms:modified xsi:type="dcterms:W3CDTF">2026-10-10T02:12:14Z</dcterms:modified>
</cp:coreProperties>
</file>